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carolina_olave_uc_cl/Documents/7mo semestre/Narración gráfica de no ficción/Proyecto-Arratia-Bravo-Finkenberger/Entrega 02/Arratia_Cobertura_mediatica_database/"/>
    </mc:Choice>
  </mc:AlternateContent>
  <xr:revisionPtr revIDLastSave="68" documentId="8_{14BE2B77-7A58-4E5C-A280-AD319880B372}" xr6:coauthVersionLast="47" xr6:coauthVersionMax="47" xr10:uidLastSave="{1A1207AA-B43E-467F-8501-CD6079D33474}"/>
  <bookViews>
    <workbookView xWindow="9510" yWindow="0" windowWidth="9780" windowHeight="10890" activeTab="1" xr2:uid="{4FE9051C-04E8-4615-AC99-C421FA9172F1}"/>
  </bookViews>
  <sheets>
    <sheet name="Hoja1" sheetId="1" r:id="rId1"/>
    <sheet name="Hoja2" sheetId="2" r:id="rId2"/>
  </sheets>
  <calcPr calcId="191029"/>
  <pivotCaches>
    <pivotCache cacheId="1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65" i="1" l="1"/>
  <c r="B73" i="1"/>
  <c r="B97" i="1"/>
  <c r="B105" i="1"/>
  <c r="B129" i="1"/>
  <c r="B161" i="1"/>
  <c r="B169" i="1"/>
  <c r="B193" i="1"/>
  <c r="B197" i="1"/>
  <c r="B201" i="1"/>
  <c r="B225" i="1"/>
  <c r="B265" i="1"/>
  <c r="B289" i="1"/>
  <c r="B297" i="1"/>
  <c r="B321" i="1"/>
  <c r="B325" i="1"/>
  <c r="C2" i="1"/>
  <c r="B2" i="1" s="1"/>
  <c r="C3" i="1"/>
  <c r="B3" i="1" s="1"/>
  <c r="C4" i="1"/>
  <c r="B4" i="1" s="1"/>
  <c r="C5" i="1"/>
  <c r="B5" i="1" s="1"/>
  <c r="C6" i="1"/>
  <c r="B6" i="1" s="1"/>
  <c r="C7" i="1"/>
  <c r="B7" i="1" s="1"/>
  <c r="C8" i="1"/>
  <c r="B8" i="1" s="1"/>
  <c r="C9" i="1"/>
  <c r="B9" i="1" s="1"/>
  <c r="C10" i="1"/>
  <c r="B10" i="1" s="1"/>
  <c r="C11" i="1"/>
  <c r="B11" i="1" s="1"/>
  <c r="C12" i="1"/>
  <c r="B12" i="1" s="1"/>
  <c r="C13" i="1"/>
  <c r="B13" i="1" s="1"/>
  <c r="C14" i="1"/>
  <c r="B14" i="1" s="1"/>
  <c r="C15" i="1"/>
  <c r="B15" i="1" s="1"/>
  <c r="C16" i="1"/>
  <c r="B16" i="1" s="1"/>
  <c r="C17" i="1"/>
  <c r="B17" i="1" s="1"/>
  <c r="C18" i="1"/>
  <c r="B18" i="1" s="1"/>
  <c r="C19" i="1"/>
  <c r="B19" i="1" s="1"/>
  <c r="C20" i="1"/>
  <c r="B20" i="1" s="1"/>
  <c r="C21" i="1"/>
  <c r="B21" i="1" s="1"/>
  <c r="C22" i="1"/>
  <c r="B22" i="1" s="1"/>
  <c r="C23" i="1"/>
  <c r="B23" i="1" s="1"/>
  <c r="C24" i="1"/>
  <c r="B24" i="1" s="1"/>
  <c r="C25" i="1"/>
  <c r="B25" i="1" s="1"/>
  <c r="C26" i="1"/>
  <c r="B26" i="1" s="1"/>
  <c r="C27" i="1"/>
  <c r="B27" i="1" s="1"/>
  <c r="C28" i="1"/>
  <c r="B28" i="1" s="1"/>
  <c r="C29" i="1"/>
  <c r="B29" i="1" s="1"/>
  <c r="C30" i="1"/>
  <c r="B30" i="1" s="1"/>
  <c r="C31" i="1"/>
  <c r="B31" i="1" s="1"/>
  <c r="C32" i="1"/>
  <c r="B32" i="1" s="1"/>
  <c r="C33" i="1"/>
  <c r="B33" i="1" s="1"/>
  <c r="C34" i="1"/>
  <c r="B34" i="1" s="1"/>
  <c r="C35" i="1"/>
  <c r="B35" i="1" s="1"/>
  <c r="C36" i="1"/>
  <c r="B36" i="1" s="1"/>
  <c r="C37" i="1"/>
  <c r="B37" i="1" s="1"/>
  <c r="C38" i="1"/>
  <c r="B38" i="1" s="1"/>
  <c r="C39" i="1"/>
  <c r="B39" i="1" s="1"/>
  <c r="C40" i="1"/>
  <c r="B40" i="1" s="1"/>
  <c r="C41" i="1"/>
  <c r="B41" i="1" s="1"/>
  <c r="C42" i="1"/>
  <c r="B42" i="1" s="1"/>
  <c r="C43" i="1"/>
  <c r="B43" i="1" s="1"/>
  <c r="C44" i="1"/>
  <c r="B44" i="1" s="1"/>
  <c r="C45" i="1"/>
  <c r="B45" i="1" s="1"/>
  <c r="C46" i="1"/>
  <c r="B46" i="1" s="1"/>
  <c r="C47" i="1"/>
  <c r="B47" i="1" s="1"/>
  <c r="C48" i="1"/>
  <c r="B48" i="1" s="1"/>
  <c r="C49" i="1"/>
  <c r="B49" i="1" s="1"/>
  <c r="C50" i="1"/>
  <c r="B50" i="1" s="1"/>
  <c r="C51" i="1"/>
  <c r="B51" i="1" s="1"/>
  <c r="C52" i="1"/>
  <c r="B52" i="1" s="1"/>
  <c r="C53" i="1"/>
  <c r="B53" i="1" s="1"/>
  <c r="C54" i="1"/>
  <c r="B54" i="1" s="1"/>
  <c r="C55" i="1"/>
  <c r="B55" i="1" s="1"/>
  <c r="C56" i="1"/>
  <c r="B56" i="1" s="1"/>
  <c r="C57" i="1"/>
  <c r="B57" i="1" s="1"/>
  <c r="C58" i="1"/>
  <c r="B58" i="1" s="1"/>
  <c r="C59" i="1"/>
  <c r="B59" i="1" s="1"/>
  <c r="C60" i="1"/>
  <c r="B60" i="1" s="1"/>
  <c r="C61" i="1"/>
  <c r="B61" i="1" s="1"/>
  <c r="C62" i="1"/>
  <c r="B62" i="1" s="1"/>
  <c r="C63" i="1"/>
  <c r="B63" i="1" s="1"/>
  <c r="C64" i="1"/>
  <c r="B64" i="1" s="1"/>
  <c r="C65" i="1"/>
  <c r="C66" i="1"/>
  <c r="B66" i="1" s="1"/>
  <c r="C67" i="1"/>
  <c r="B67" i="1" s="1"/>
  <c r="C68" i="1"/>
  <c r="B68" i="1" s="1"/>
  <c r="C69" i="1"/>
  <c r="B69" i="1" s="1"/>
  <c r="C70" i="1"/>
  <c r="B70" i="1" s="1"/>
  <c r="C71" i="1"/>
  <c r="B71" i="1" s="1"/>
  <c r="C72" i="1"/>
  <c r="B72" i="1" s="1"/>
  <c r="C73" i="1"/>
  <c r="C74" i="1"/>
  <c r="B74" i="1" s="1"/>
  <c r="C75" i="1"/>
  <c r="B75" i="1" s="1"/>
  <c r="C76" i="1"/>
  <c r="B76" i="1" s="1"/>
  <c r="C77" i="1"/>
  <c r="B77" i="1" s="1"/>
  <c r="C78" i="1"/>
  <c r="B78" i="1" s="1"/>
  <c r="C79" i="1"/>
  <c r="B79" i="1" s="1"/>
  <c r="C80" i="1"/>
  <c r="B80" i="1" s="1"/>
  <c r="C81" i="1"/>
  <c r="B81" i="1" s="1"/>
  <c r="C82" i="1"/>
  <c r="B82" i="1" s="1"/>
  <c r="C83" i="1"/>
  <c r="B83" i="1" s="1"/>
  <c r="C84" i="1"/>
  <c r="B84" i="1" s="1"/>
  <c r="C85" i="1"/>
  <c r="B85" i="1" s="1"/>
  <c r="C86" i="1"/>
  <c r="B86" i="1" s="1"/>
  <c r="C87" i="1"/>
  <c r="B87" i="1" s="1"/>
  <c r="C88" i="1"/>
  <c r="B88" i="1" s="1"/>
  <c r="C89" i="1"/>
  <c r="B89" i="1" s="1"/>
  <c r="C90" i="1"/>
  <c r="B90" i="1" s="1"/>
  <c r="C91" i="1"/>
  <c r="B91" i="1" s="1"/>
  <c r="C92" i="1"/>
  <c r="B92" i="1" s="1"/>
  <c r="C93" i="1"/>
  <c r="B93" i="1" s="1"/>
  <c r="C94" i="1"/>
  <c r="B94" i="1" s="1"/>
  <c r="C95" i="1"/>
  <c r="B95" i="1" s="1"/>
  <c r="C96" i="1"/>
  <c r="B96" i="1" s="1"/>
  <c r="C97" i="1"/>
  <c r="C98" i="1"/>
  <c r="B98" i="1" s="1"/>
  <c r="C99" i="1"/>
  <c r="B99" i="1" s="1"/>
  <c r="C100" i="1"/>
  <c r="B100" i="1" s="1"/>
  <c r="C101" i="1"/>
  <c r="B101" i="1" s="1"/>
  <c r="C102" i="1"/>
  <c r="B102" i="1" s="1"/>
  <c r="C103" i="1"/>
  <c r="B103" i="1" s="1"/>
  <c r="C104" i="1"/>
  <c r="B104" i="1" s="1"/>
  <c r="C105" i="1"/>
  <c r="C106" i="1"/>
  <c r="B106" i="1" s="1"/>
  <c r="C107" i="1"/>
  <c r="B107" i="1" s="1"/>
  <c r="C108" i="1"/>
  <c r="B108" i="1" s="1"/>
  <c r="C109" i="1"/>
  <c r="B109" i="1" s="1"/>
  <c r="C110" i="1"/>
  <c r="B110" i="1" s="1"/>
  <c r="C111" i="1"/>
  <c r="B111" i="1" s="1"/>
  <c r="C112" i="1"/>
  <c r="B112" i="1" s="1"/>
  <c r="C113" i="1"/>
  <c r="B113" i="1" s="1"/>
  <c r="C114" i="1"/>
  <c r="B114" i="1" s="1"/>
  <c r="C115" i="1"/>
  <c r="B115" i="1" s="1"/>
  <c r="C116" i="1"/>
  <c r="B116" i="1" s="1"/>
  <c r="C117" i="1"/>
  <c r="B117" i="1" s="1"/>
  <c r="C118" i="1"/>
  <c r="B118" i="1" s="1"/>
  <c r="C119" i="1"/>
  <c r="B119" i="1" s="1"/>
  <c r="C120" i="1"/>
  <c r="B120" i="1" s="1"/>
  <c r="C121" i="1"/>
  <c r="B121" i="1" s="1"/>
  <c r="C122" i="1"/>
  <c r="B122" i="1" s="1"/>
  <c r="C123" i="1"/>
  <c r="B123" i="1" s="1"/>
  <c r="C124" i="1"/>
  <c r="B124" i="1" s="1"/>
  <c r="C125" i="1"/>
  <c r="B125" i="1" s="1"/>
  <c r="C126" i="1"/>
  <c r="B126" i="1" s="1"/>
  <c r="C127" i="1"/>
  <c r="B127" i="1" s="1"/>
  <c r="C128" i="1"/>
  <c r="B128" i="1" s="1"/>
  <c r="C129" i="1"/>
  <c r="C130" i="1"/>
  <c r="B130" i="1" s="1"/>
  <c r="C131" i="1"/>
  <c r="B131" i="1" s="1"/>
  <c r="C132" i="1"/>
  <c r="B132" i="1" s="1"/>
  <c r="C133" i="1"/>
  <c r="B133" i="1" s="1"/>
  <c r="C134" i="1"/>
  <c r="B134" i="1" s="1"/>
  <c r="C135" i="1"/>
  <c r="B135" i="1" s="1"/>
  <c r="C136" i="1"/>
  <c r="B136" i="1" s="1"/>
  <c r="C137" i="1"/>
  <c r="B137" i="1" s="1"/>
  <c r="C138" i="1"/>
  <c r="B138" i="1" s="1"/>
  <c r="C139" i="1"/>
  <c r="B139" i="1" s="1"/>
  <c r="C140" i="1"/>
  <c r="B140" i="1" s="1"/>
  <c r="C141" i="1"/>
  <c r="B141" i="1" s="1"/>
  <c r="C142" i="1"/>
  <c r="B142" i="1" s="1"/>
  <c r="C143" i="1"/>
  <c r="B143" i="1" s="1"/>
  <c r="C144" i="1"/>
  <c r="B144" i="1" s="1"/>
  <c r="C145" i="1"/>
  <c r="B145" i="1" s="1"/>
  <c r="C146" i="1"/>
  <c r="B146" i="1" s="1"/>
  <c r="C147" i="1"/>
  <c r="B147" i="1" s="1"/>
  <c r="C148" i="1"/>
  <c r="B148" i="1" s="1"/>
  <c r="C149" i="1"/>
  <c r="B149" i="1" s="1"/>
  <c r="C150" i="1"/>
  <c r="B150" i="1" s="1"/>
  <c r="C151" i="1"/>
  <c r="B151" i="1" s="1"/>
  <c r="C152" i="1"/>
  <c r="B152" i="1" s="1"/>
  <c r="C153" i="1"/>
  <c r="B153" i="1" s="1"/>
  <c r="C154" i="1"/>
  <c r="B154" i="1" s="1"/>
  <c r="C155" i="1"/>
  <c r="B155" i="1" s="1"/>
  <c r="C156" i="1"/>
  <c r="B156" i="1" s="1"/>
  <c r="C157" i="1"/>
  <c r="B157" i="1" s="1"/>
  <c r="C158" i="1"/>
  <c r="B158" i="1" s="1"/>
  <c r="C159" i="1"/>
  <c r="B159" i="1" s="1"/>
  <c r="C160" i="1"/>
  <c r="B160" i="1" s="1"/>
  <c r="C161" i="1"/>
  <c r="C162" i="1"/>
  <c r="B162" i="1" s="1"/>
  <c r="C163" i="1"/>
  <c r="B163" i="1" s="1"/>
  <c r="C164" i="1"/>
  <c r="B164" i="1" s="1"/>
  <c r="C165" i="1"/>
  <c r="B165" i="1" s="1"/>
  <c r="C166" i="1"/>
  <c r="B166" i="1" s="1"/>
  <c r="C167" i="1"/>
  <c r="B167" i="1" s="1"/>
  <c r="C168" i="1"/>
  <c r="B168" i="1" s="1"/>
  <c r="C169" i="1"/>
  <c r="C170" i="1"/>
  <c r="B170" i="1" s="1"/>
  <c r="C171" i="1"/>
  <c r="B171" i="1" s="1"/>
  <c r="C172" i="1"/>
  <c r="B172" i="1" s="1"/>
  <c r="C173" i="1"/>
  <c r="B173" i="1" s="1"/>
  <c r="C174" i="1"/>
  <c r="B174" i="1" s="1"/>
  <c r="C175" i="1"/>
  <c r="B175" i="1" s="1"/>
  <c r="C176" i="1"/>
  <c r="B176" i="1" s="1"/>
  <c r="C177" i="1"/>
  <c r="B177" i="1" s="1"/>
  <c r="C178" i="1"/>
  <c r="B178" i="1" s="1"/>
  <c r="C179" i="1"/>
  <c r="B179" i="1" s="1"/>
  <c r="C180" i="1"/>
  <c r="B180" i="1" s="1"/>
  <c r="C181" i="1"/>
  <c r="B181" i="1" s="1"/>
  <c r="C182" i="1"/>
  <c r="B182" i="1" s="1"/>
  <c r="C183" i="1"/>
  <c r="B183" i="1" s="1"/>
  <c r="C184" i="1"/>
  <c r="B184" i="1" s="1"/>
  <c r="C185" i="1"/>
  <c r="B185" i="1" s="1"/>
  <c r="C186" i="1"/>
  <c r="B186" i="1" s="1"/>
  <c r="C187" i="1"/>
  <c r="B187" i="1" s="1"/>
  <c r="C188" i="1"/>
  <c r="B188" i="1" s="1"/>
  <c r="C189" i="1"/>
  <c r="B189" i="1" s="1"/>
  <c r="C190" i="1"/>
  <c r="B190" i="1" s="1"/>
  <c r="C191" i="1"/>
  <c r="B191" i="1" s="1"/>
  <c r="C192" i="1"/>
  <c r="B192" i="1" s="1"/>
  <c r="C193" i="1"/>
  <c r="C194" i="1"/>
  <c r="B194" i="1" s="1"/>
  <c r="C195" i="1"/>
  <c r="B195" i="1" s="1"/>
  <c r="C196" i="1"/>
  <c r="B196" i="1" s="1"/>
  <c r="C197" i="1"/>
  <c r="C198" i="1"/>
  <c r="B198" i="1" s="1"/>
  <c r="C199" i="1"/>
  <c r="B199" i="1" s="1"/>
  <c r="C200" i="1"/>
  <c r="B200" i="1" s="1"/>
  <c r="C201" i="1"/>
  <c r="C202" i="1"/>
  <c r="B202" i="1" s="1"/>
  <c r="C203" i="1"/>
  <c r="B203" i="1" s="1"/>
  <c r="C204" i="1"/>
  <c r="B204" i="1" s="1"/>
  <c r="C205" i="1"/>
  <c r="B205" i="1" s="1"/>
  <c r="C206" i="1"/>
  <c r="B206" i="1" s="1"/>
  <c r="C207" i="1"/>
  <c r="B207" i="1" s="1"/>
  <c r="C208" i="1"/>
  <c r="B208" i="1" s="1"/>
  <c r="C209" i="1"/>
  <c r="B209" i="1" s="1"/>
  <c r="C210" i="1"/>
  <c r="B210" i="1" s="1"/>
  <c r="C211" i="1"/>
  <c r="B211" i="1" s="1"/>
  <c r="C212" i="1"/>
  <c r="B212" i="1" s="1"/>
  <c r="C213" i="1"/>
  <c r="B213" i="1" s="1"/>
  <c r="C214" i="1"/>
  <c r="B214" i="1" s="1"/>
  <c r="C215" i="1"/>
  <c r="B215" i="1" s="1"/>
  <c r="C216" i="1"/>
  <c r="B216" i="1" s="1"/>
  <c r="C217" i="1"/>
  <c r="B217" i="1" s="1"/>
  <c r="C218" i="1"/>
  <c r="B218" i="1" s="1"/>
  <c r="C219" i="1"/>
  <c r="B219" i="1" s="1"/>
  <c r="C220" i="1"/>
  <c r="B220" i="1" s="1"/>
  <c r="C221" i="1"/>
  <c r="B221" i="1" s="1"/>
  <c r="C222" i="1"/>
  <c r="B222" i="1" s="1"/>
  <c r="C223" i="1"/>
  <c r="B223" i="1" s="1"/>
  <c r="C224" i="1"/>
  <c r="B224" i="1" s="1"/>
  <c r="C225" i="1"/>
  <c r="C226" i="1"/>
  <c r="B226" i="1" s="1"/>
  <c r="C227" i="1"/>
  <c r="B227" i="1" s="1"/>
  <c r="C228" i="1"/>
  <c r="B228" i="1" s="1"/>
  <c r="C229" i="1"/>
  <c r="B229" i="1" s="1"/>
  <c r="C230" i="1"/>
  <c r="B230" i="1" s="1"/>
  <c r="C231" i="1"/>
  <c r="B231" i="1" s="1"/>
  <c r="C232" i="1"/>
  <c r="B232" i="1" s="1"/>
  <c r="C233" i="1"/>
  <c r="B233" i="1" s="1"/>
  <c r="C234" i="1"/>
  <c r="B234" i="1" s="1"/>
  <c r="C235" i="1"/>
  <c r="B235" i="1" s="1"/>
  <c r="C236" i="1"/>
  <c r="B236" i="1" s="1"/>
  <c r="C237" i="1"/>
  <c r="B237" i="1" s="1"/>
  <c r="C238" i="1"/>
  <c r="B238" i="1" s="1"/>
  <c r="C239" i="1"/>
  <c r="B239" i="1" s="1"/>
  <c r="C240" i="1"/>
  <c r="B240" i="1" s="1"/>
  <c r="C241" i="1"/>
  <c r="B241" i="1" s="1"/>
  <c r="C242" i="1"/>
  <c r="B242" i="1" s="1"/>
  <c r="C243" i="1"/>
  <c r="B243" i="1" s="1"/>
  <c r="C244" i="1"/>
  <c r="B244" i="1" s="1"/>
  <c r="C245" i="1"/>
  <c r="B245" i="1" s="1"/>
  <c r="C246" i="1"/>
  <c r="B246" i="1" s="1"/>
  <c r="C247" i="1"/>
  <c r="B247" i="1" s="1"/>
  <c r="C248" i="1"/>
  <c r="B248" i="1" s="1"/>
  <c r="C249" i="1"/>
  <c r="B249" i="1" s="1"/>
  <c r="C250" i="1"/>
  <c r="B250" i="1" s="1"/>
  <c r="C251" i="1"/>
  <c r="B251" i="1" s="1"/>
  <c r="C252" i="1"/>
  <c r="B252" i="1" s="1"/>
  <c r="C253" i="1"/>
  <c r="B253" i="1" s="1"/>
  <c r="C254" i="1"/>
  <c r="B254" i="1" s="1"/>
  <c r="C255" i="1"/>
  <c r="B255" i="1" s="1"/>
  <c r="C256" i="1"/>
  <c r="B256" i="1" s="1"/>
  <c r="C257" i="1"/>
  <c r="B257" i="1" s="1"/>
  <c r="C258" i="1"/>
  <c r="B258" i="1" s="1"/>
  <c r="C259" i="1"/>
  <c r="B259" i="1" s="1"/>
  <c r="C260" i="1"/>
  <c r="B260" i="1" s="1"/>
  <c r="C261" i="1"/>
  <c r="B261" i="1" s="1"/>
  <c r="C262" i="1"/>
  <c r="B262" i="1" s="1"/>
  <c r="C263" i="1"/>
  <c r="B263" i="1" s="1"/>
  <c r="C264" i="1"/>
  <c r="B264" i="1" s="1"/>
  <c r="C265" i="1"/>
  <c r="C266" i="1"/>
  <c r="B266" i="1" s="1"/>
  <c r="C267" i="1"/>
  <c r="B267" i="1" s="1"/>
  <c r="C268" i="1"/>
  <c r="B268" i="1" s="1"/>
  <c r="C269" i="1"/>
  <c r="B269" i="1" s="1"/>
  <c r="C270" i="1"/>
  <c r="B270" i="1" s="1"/>
  <c r="C271" i="1"/>
  <c r="B271" i="1" s="1"/>
  <c r="C272" i="1"/>
  <c r="B272" i="1" s="1"/>
  <c r="C273" i="1"/>
  <c r="B273" i="1" s="1"/>
  <c r="C274" i="1"/>
  <c r="B274" i="1" s="1"/>
  <c r="C275" i="1"/>
  <c r="B275" i="1" s="1"/>
  <c r="C276" i="1"/>
  <c r="B276" i="1" s="1"/>
  <c r="C277" i="1"/>
  <c r="B277" i="1" s="1"/>
  <c r="C278" i="1"/>
  <c r="B278" i="1" s="1"/>
  <c r="C279" i="1"/>
  <c r="B279" i="1" s="1"/>
  <c r="C280" i="1"/>
  <c r="B280" i="1" s="1"/>
  <c r="C281" i="1"/>
  <c r="B281" i="1" s="1"/>
  <c r="C282" i="1"/>
  <c r="B282" i="1" s="1"/>
  <c r="C283" i="1"/>
  <c r="B283" i="1" s="1"/>
  <c r="C284" i="1"/>
  <c r="B284" i="1" s="1"/>
  <c r="C285" i="1"/>
  <c r="B285" i="1" s="1"/>
  <c r="C286" i="1"/>
  <c r="B286" i="1" s="1"/>
  <c r="C287" i="1"/>
  <c r="B287" i="1" s="1"/>
  <c r="C288" i="1"/>
  <c r="B288" i="1" s="1"/>
  <c r="C289" i="1"/>
  <c r="C290" i="1"/>
  <c r="B290" i="1" s="1"/>
  <c r="C291" i="1"/>
  <c r="B291" i="1" s="1"/>
  <c r="C292" i="1"/>
  <c r="B292" i="1" s="1"/>
  <c r="C293" i="1"/>
  <c r="B293" i="1" s="1"/>
  <c r="C294" i="1"/>
  <c r="B294" i="1" s="1"/>
  <c r="C295" i="1"/>
  <c r="B295" i="1" s="1"/>
  <c r="C296" i="1"/>
  <c r="B296" i="1" s="1"/>
  <c r="C297" i="1"/>
  <c r="C298" i="1"/>
  <c r="B298" i="1" s="1"/>
  <c r="C299" i="1"/>
  <c r="B299" i="1" s="1"/>
  <c r="C300" i="1"/>
  <c r="B300" i="1" s="1"/>
  <c r="C301" i="1"/>
  <c r="B301" i="1" s="1"/>
  <c r="C302" i="1"/>
  <c r="B302" i="1" s="1"/>
  <c r="C303" i="1"/>
  <c r="B303" i="1" s="1"/>
  <c r="C304" i="1"/>
  <c r="B304" i="1" s="1"/>
  <c r="C305" i="1"/>
  <c r="B305" i="1" s="1"/>
  <c r="C306" i="1"/>
  <c r="B306" i="1" s="1"/>
  <c r="C307" i="1"/>
  <c r="B307" i="1" s="1"/>
  <c r="C308" i="1"/>
  <c r="B308" i="1" s="1"/>
  <c r="C309" i="1"/>
  <c r="B309" i="1" s="1"/>
  <c r="C310" i="1"/>
  <c r="B310" i="1" s="1"/>
  <c r="C311" i="1"/>
  <c r="B311" i="1" s="1"/>
  <c r="C312" i="1"/>
  <c r="B312" i="1" s="1"/>
  <c r="C313" i="1"/>
  <c r="B313" i="1" s="1"/>
  <c r="C314" i="1"/>
  <c r="B314" i="1" s="1"/>
  <c r="C315" i="1"/>
  <c r="B315" i="1" s="1"/>
  <c r="C316" i="1"/>
  <c r="B316" i="1" s="1"/>
  <c r="C317" i="1"/>
  <c r="B317" i="1" s="1"/>
  <c r="C318" i="1"/>
  <c r="B318" i="1" s="1"/>
  <c r="C319" i="1"/>
  <c r="B319" i="1" s="1"/>
  <c r="C320" i="1"/>
  <c r="B320" i="1" s="1"/>
  <c r="C321" i="1"/>
  <c r="C322" i="1"/>
  <c r="B322" i="1" s="1"/>
  <c r="C323" i="1"/>
  <c r="B323" i="1" s="1"/>
  <c r="C324" i="1"/>
  <c r="B324" i="1" s="1"/>
  <c r="C325" i="1"/>
  <c r="C326" i="1"/>
  <c r="B326" i="1" s="1"/>
  <c r="C327" i="1"/>
  <c r="B327" i="1" s="1"/>
  <c r="C328" i="1"/>
  <c r="B328" i="1" s="1"/>
  <c r="C329" i="1"/>
  <c r="B329" i="1" s="1"/>
  <c r="C330" i="1"/>
  <c r="B330" i="1" s="1"/>
  <c r="C331" i="1"/>
  <c r="B331" i="1" s="1"/>
  <c r="C332" i="1"/>
  <c r="B332" i="1" s="1"/>
  <c r="C333" i="1"/>
  <c r="B333" i="1" s="1"/>
  <c r="C334" i="1"/>
  <c r="B334" i="1" s="1"/>
  <c r="C335" i="1"/>
  <c r="B335" i="1" s="1"/>
  <c r="C336" i="1"/>
  <c r="B336" i="1" s="1"/>
  <c r="C337" i="1"/>
  <c r="B337" i="1" s="1"/>
  <c r="C338" i="1"/>
  <c r="B338" i="1" s="1"/>
  <c r="C339" i="1"/>
  <c r="B339" i="1" s="1"/>
  <c r="C340" i="1"/>
  <c r="B340" i="1" s="1"/>
  <c r="C341" i="1"/>
  <c r="B341" i="1" s="1"/>
  <c r="C342" i="1"/>
  <c r="B342" i="1" s="1"/>
  <c r="C343" i="1"/>
  <c r="B343" i="1" s="1"/>
  <c r="C344" i="1"/>
  <c r="B344" i="1" s="1"/>
  <c r="C345" i="1"/>
  <c r="B345" i="1" s="1"/>
  <c r="C346" i="1"/>
  <c r="B346" i="1" s="1"/>
  <c r="C347" i="1"/>
  <c r="B347" i="1" s="1"/>
  <c r="C348" i="1"/>
  <c r="B348" i="1" s="1"/>
  <c r="C349" i="1"/>
  <c r="B349" i="1" s="1"/>
  <c r="C350" i="1"/>
  <c r="B350" i="1" s="1"/>
  <c r="C351" i="1"/>
  <c r="B351" i="1" s="1"/>
  <c r="C352" i="1"/>
  <c r="B352" i="1" s="1"/>
</calcChain>
</file>

<file path=xl/sharedStrings.xml><?xml version="1.0" encoding="utf-8"?>
<sst xmlns="http://schemas.openxmlformats.org/spreadsheetml/2006/main" count="3073" uniqueCount="712">
  <si>
    <t>Especie ID</t>
  </si>
  <si>
    <t xml:space="preserve">Nombre científico </t>
  </si>
  <si>
    <t>Nombre común</t>
  </si>
  <si>
    <t>Clase</t>
  </si>
  <si>
    <t>RCE</t>
  </si>
  <si>
    <t>Titular</t>
  </si>
  <si>
    <t>Fuente</t>
  </si>
  <si>
    <t>Link</t>
  </si>
  <si>
    <t>Usa N. Científico</t>
  </si>
  <si>
    <t>Usa N. Común</t>
  </si>
  <si>
    <t>Alcance</t>
  </si>
  <si>
    <t>Es protagonsita</t>
  </si>
  <si>
    <t>Tono predominante</t>
  </si>
  <si>
    <t>Tiene foto</t>
  </si>
  <si>
    <t>Acanthogonatus hualpen</t>
  </si>
  <si>
    <t>Araña (genérico)</t>
  </si>
  <si>
    <t>Arachnida</t>
  </si>
  <si>
    <t>CR</t>
  </si>
  <si>
    <t>Sin datos</t>
  </si>
  <si>
    <t>Aegla denticulata</t>
  </si>
  <si>
    <t>pancora</t>
  </si>
  <si>
    <t>Malacostraca</t>
  </si>
  <si>
    <t xml:space="preserve">Aegla papudo </t>
  </si>
  <si>
    <t>piñacha, pancora, pancora de Papudo</t>
  </si>
  <si>
    <t>Alsodes laevis</t>
  </si>
  <si>
    <t>sapo de pecho espinoso de Potrero</t>
  </si>
  <si>
    <t>Amphibia</t>
  </si>
  <si>
    <t>Alsodes norae</t>
  </si>
  <si>
    <t>rana de pecho espinoso de Oncol</t>
  </si>
  <si>
    <t>Alsodes vittatus</t>
  </si>
  <si>
    <t>sapo de pecho espinoso de Malleco</t>
  </si>
  <si>
    <t>Ambrosiella kuscheli</t>
  </si>
  <si>
    <t>caracol</t>
  </si>
  <si>
    <t>Gastropoda</t>
  </si>
  <si>
    <t>Anaperochernes ambrosianus</t>
  </si>
  <si>
    <t>seudoescorpión</t>
  </si>
  <si>
    <t>Aphrastura masafuerae</t>
  </si>
  <si>
    <t>rayadito de Más Afuera</t>
  </si>
  <si>
    <t>Aves</t>
  </si>
  <si>
    <t>Biomphalaria costata</t>
  </si>
  <si>
    <t>caracol de agua dulce</t>
  </si>
  <si>
    <t>Brachistosternus philippii</t>
  </si>
  <si>
    <t>escorpión de Philippi</t>
  </si>
  <si>
    <t>Callisphyris ficheti</t>
  </si>
  <si>
    <t>sierra del Orocoipo</t>
  </si>
  <si>
    <t>Insecta</t>
  </si>
  <si>
    <t>Callyntra hibrida</t>
  </si>
  <si>
    <t>cascarudo híbrido o cascarudo del Poqui</t>
  </si>
  <si>
    <t>Chelanops pugil</t>
  </si>
  <si>
    <t>Chellius piramidalis</t>
  </si>
  <si>
    <t>caracol de concha piramidal</t>
  </si>
  <si>
    <t>Chiasognathus jousselini</t>
  </si>
  <si>
    <t>cantárida, ciervo volante peludo</t>
  </si>
  <si>
    <t>Chilina angusta</t>
  </si>
  <si>
    <t>caracol de Paposo</t>
  </si>
  <si>
    <t>Gasotropoda</t>
  </si>
  <si>
    <t>Pingüino de Humboldt y especies únicas de Chile en peligro: más del 70% está en riesgo de extinción</t>
  </si>
  <si>
    <t>Meteored Chile</t>
  </si>
  <si>
    <t>https://www.meteored.cl/noticias/ciencia/pinguino-de-humboldt-y-especies-unicas-de-chile-en-peligro-mas-del-70-esta-en-riesgo-de-extincion.html</t>
  </si>
  <si>
    <t>Nacional</t>
  </si>
  <si>
    <t>Alarma/Crisis</t>
  </si>
  <si>
    <t>Pingüino de Humboldt y especies endémicas en Chile aumentan riesgo de extinción</t>
  </si>
  <si>
    <t>Cooperativa Ciencia</t>
  </si>
  <si>
    <t>https://www.cooperativaciencia.cl/medio-ambiente/2025/10/20/pinguino-de-humboldt-y-especies-endemicas-en-chile-aumentan-riesgo-de-extincion/</t>
  </si>
  <si>
    <t>Alarma / Crisis</t>
  </si>
  <si>
    <t>Especies en riesgo: pingüino de Humboldt, lagarto de Álvaro y plantas de Juan Fernández en alerta</t>
  </si>
  <si>
    <t>El Mostrador</t>
  </si>
  <si>
    <t>https://www.elmostrador.cl/agenda-pais/agenda-sustentable/2025/10/28/especies-en-riesgo-pinguino-de-humboldt-lagarto-de-alvaro-y-plantas-de-juan-fernandez-en-alerta/</t>
  </si>
  <si>
    <t>Pingüino de Humboldt y lagarto gruñidor en peligro</t>
  </si>
  <si>
    <t>Diario Sustentable</t>
  </si>
  <si>
    <t>https://www.diariosustentable.com/2025/10/pinguino-de-humboldt-lagarto-grunidor-y-plantas-endemicas-de-juan-fernandez-aumentan-su-riesgo-de-extincion-en-chile/</t>
  </si>
  <si>
    <t>Cnemalobus pegnai</t>
  </si>
  <si>
    <t>Ectinogonia barrigai</t>
  </si>
  <si>
    <t>balita de Barriga, bupréstido de Barriga</t>
  </si>
  <si>
    <t>Entomochilus wilsoni</t>
  </si>
  <si>
    <t>tenebrio de Wilson, teatino de Wilson</t>
  </si>
  <si>
    <t>Euathlus antai</t>
  </si>
  <si>
    <t>araña pollito, tarántula</t>
  </si>
  <si>
    <t>Euathlus atacama</t>
  </si>
  <si>
    <t>Euathlus condorito</t>
  </si>
  <si>
    <t>Euathlus parvulus</t>
  </si>
  <si>
    <t>tarántula enana, araña pollito</t>
  </si>
  <si>
    <t>Eulidia yarrellii</t>
  </si>
  <si>
    <t>picaflor de Arica, estrellita chilena</t>
  </si>
  <si>
    <t>Picaflor de Arica en peligro crítico: estudio alerta impacto de la agricultura intensiva</t>
  </si>
  <si>
    <t>Canal 9 Bío Bío Televisión</t>
  </si>
  <si>
    <t>https://www.canal9.cl/episodios/nuestra-casa/2026/03/20/picaflor-de-arica-en-peligro-critico-estudio-alerta-impacto-de-la-agricultura-intensiva</t>
  </si>
  <si>
    <t>Estudio advierte pérdida de hábitat del picaflor de Arica por expansión agrícola</t>
  </si>
  <si>
    <t>https://www.cooperativaciencia.cl/medio-ambiente/2026/03/12/estudio-advierte-perdida-de-habitat-del-picaflor-de-arica-por-expansion-agricola/</t>
  </si>
  <si>
    <t>Científico / Educativo</t>
  </si>
  <si>
    <t>Picaflor de Arica pierde terreno: Estudio alerta impacto de monocultivos en Azapa, ¿qué hacer?</t>
  </si>
  <si>
    <t>Fundación Terram</t>
  </si>
  <si>
    <t>https://www.terram.cl/picaflor-de-arica-pierde-terreno-estudio-alerta-impacto-de-monocultivos-en-azapa-que-hacer/</t>
  </si>
  <si>
    <t>Regional</t>
  </si>
  <si>
    <t>Crean microreserva de más de 15 hectáreas para proteger a picaflor de Arica, especie que está peligro crítico de extinción</t>
  </si>
  <si>
    <t>The Clinic</t>
  </si>
  <si>
    <t>https://www.theclinic.cl/2026/02/25/crean-microreserva-de-mas-de-15-hectareas-para-proteger-a-picaflor-de-arica-especie-que-esta-peligro-critico-de-extincion/</t>
  </si>
  <si>
    <t>Conservación / Positivo</t>
  </si>
  <si>
    <t>Alertan pérdida de hábitat del picaflor de Arica por expansión de monocultivos en valles del norte</t>
  </si>
  <si>
    <t>https://www.elmostrador.cl/cultura/ciencia-cultura/2026/03/05/alertan-perdida-de-habitat-del-picaflor-de-arica-por-expansion-de-monocultivos-en-valles-del-norte/</t>
  </si>
  <si>
    <t>Picaflor de Arica en peligro: Monocultivos amenazan su hábitat</t>
  </si>
  <si>
    <t>Cooperativa.cl</t>
  </si>
  <si>
    <t>https://www.cooperativa.cl/noticias/pais/medioambiente/animales/picaflor-de-arica-en-peligro-monocultivos-amenazan-su-habitat/2026-03-04/154152.html</t>
  </si>
  <si>
    <t>Solo quedan 400: Crean microreserva de más de 15 hectáreas para proteger al picaflor de Arica</t>
  </si>
  <si>
    <t>Ladera Sur</t>
  </si>
  <si>
    <t>https://laderasur.com/articulo/solo-quedan-400-crean-microreserva-de-mas-de-15-hectareas-para-proteger-al-picaflor-de-arica/</t>
  </si>
  <si>
    <t>Estudio advierte cómo el picaflor de Arica está perdiendo su hábitat debido a los monocultivos</t>
  </si>
  <si>
    <t>BioBioChile</t>
  </si>
  <si>
    <t>https://www.biobiochile.cl/noticias/ciencia-y-tecnologia/medio-ambiente-cyt/2026/03/16/estudio-advierte-como-el-picaflor-de-arica-esta-perdiendo-su-habitat-debido-a-los-monocultivos.shtml</t>
  </si>
  <si>
    <t>Geranoaetus polyosoma exsul</t>
  </si>
  <si>
    <t>aguilucho de Más Afuera, aguilucho de Juan Fernández, blindado</t>
  </si>
  <si>
    <t>Heleobia atacamensis</t>
  </si>
  <si>
    <t>Heleobia transitoria</t>
  </si>
  <si>
    <t>Liolaemus confusus</t>
  </si>
  <si>
    <t>lagartija de Lolol</t>
  </si>
  <si>
    <t>Reptilia</t>
  </si>
  <si>
    <t>Liolaemus curis</t>
  </si>
  <si>
    <t>lagarto negro</t>
  </si>
  <si>
    <t>Liolaemus hermannunezi</t>
  </si>
  <si>
    <t>lagartija de Herman Núñez</t>
  </si>
  <si>
    <t>Liolaemus melaniceps</t>
  </si>
  <si>
    <t>lagartija</t>
  </si>
  <si>
    <t>Liolaemus normae</t>
  </si>
  <si>
    <t>lagarto leopardo de Norma, lagarto de los cristales</t>
  </si>
  <si>
    <t>Nigroperla costalis</t>
  </si>
  <si>
    <t>Nycterinus penai</t>
  </si>
  <si>
    <t>tenebrio de Peña, teatino de Peña</t>
  </si>
  <si>
    <t>Omalonyx gayana</t>
  </si>
  <si>
    <t>caracol terrestre Omalonyx</t>
  </si>
  <si>
    <t>Orestias gloriae</t>
  </si>
  <si>
    <t>pez (genérico)</t>
  </si>
  <si>
    <t>Actinopterygii</t>
  </si>
  <si>
    <t>Orestias piacotensis</t>
  </si>
  <si>
    <t>karachi</t>
  </si>
  <si>
    <t>Palmaspis jubae</t>
  </si>
  <si>
    <t>Escama  gigante de palma chilena</t>
  </si>
  <si>
    <t>Paraholopterus nahuelbutensis</t>
  </si>
  <si>
    <t>Phymaturus alicahuense</t>
  </si>
  <si>
    <t>matuasto de Alicahue</t>
  </si>
  <si>
    <t>Phymaturus vociferator</t>
  </si>
  <si>
    <t>matuasto del Laja, matuasto vociferador</t>
  </si>
  <si>
    <t>Pichikadi hualpensis</t>
  </si>
  <si>
    <t>caracol costilludo de Hualpén</t>
  </si>
  <si>
    <t>Praocis medvedevi</t>
  </si>
  <si>
    <t>Pristidactylus alvaroi</t>
  </si>
  <si>
    <t>lagarto gruñidor de Álvaro</t>
  </si>
  <si>
    <t>Chile declara oficialmente en peligro de extinción a Pingüino de Humboldt</t>
  </si>
  <si>
    <t>El Periodista</t>
  </si>
  <si>
    <t>https://www.elperiodista.cl/2025/10/pinguino-de-humboldt-es-declarado-oficialmente-en-peligro-de-extincion/</t>
  </si>
  <si>
    <t xml:space="preserve"> Nacional</t>
  </si>
  <si>
    <t xml:space="preserve"> Alarma/Crisis</t>
  </si>
  <si>
    <t>El pingüino de Humboldt pasa a estar en peligro de extinción y enciende las alarmas por la biodiversidad en Chile</t>
  </si>
  <si>
    <t>Futuro 360 | CNN Chile</t>
  </si>
  <si>
    <t>https://futuro360.cnnchile.com/el-pinguino-de-humboldt-pasa-a-estar-en-peligro-de-extincion-y-enciende-las-alarmas-por-la-biodiversidad-en-chile</t>
  </si>
  <si>
    <t>Equipo UM logró que el “Lagarto gruñidor de Álvaro” sea considerado “en peligro crítico de extinción”</t>
  </si>
  <si>
    <t>Diario Mayor</t>
  </si>
  <si>
    <t>https://www.diariomayor.cl/creando-universidad/academicos/equipo-um-logro-que-el-lagarto-grunidor-de-alvaro-sea-considerado-en-peligro-critico-de-extincion</t>
  </si>
  <si>
    <t>Ministra Rojas expone dramático estado del pingüino de Humboldt, lagarto gruñidor y otras 70 especies</t>
  </si>
  <si>
    <t>El Desconcierto</t>
  </si>
  <si>
    <t>https://eldesconcierto.cl/2025/10/18/ministra-rojas-expone-dramatico-estado-del-pinguino-de-humboldt-lagarto-grunidor-y-otras-70-especies</t>
  </si>
  <si>
    <t>Declaran al Lagarto gruñidor de Álvaro, especie endémica chilena, en «Peligro Crítico de Extinción</t>
  </si>
  <si>
    <t>https://www.terram.cl/declaran-al-lagarto-grunidor-de-alvaro-especie-endemica-chilena-en-peligro-critico-de-extincion/</t>
  </si>
  <si>
    <t>Pseudorestias lirimensis</t>
  </si>
  <si>
    <t>Punctum conicum</t>
  </si>
  <si>
    <t>caracol terrestre Punctum</t>
  </si>
  <si>
    <t>Punctum depressum</t>
  </si>
  <si>
    <t>Rhinoderma rufum</t>
  </si>
  <si>
    <t xml:space="preserve">ranita </t>
  </si>
  <si>
    <t>Gobierno retira más de 40 decretos ambientales: Entre ellos la protección a Ranita de Darwin y Pingüino de Humboldt</t>
  </si>
  <si>
    <t>Meganoticias</t>
  </si>
  <si>
    <t>https://www.meganoticias.cl/nacional/517253-gobierno-retira-mas-de-40-decretos-ambientales-proteccion-ranita-de-darwin-pinguino-de-humboldt-17-3-2026.html</t>
  </si>
  <si>
    <t xml:space="preserve"> Denuncia/Conflicto</t>
  </si>
  <si>
    <t>La ranita descubierta por Charles Darwin en Chile busca salvarse de la extinción</t>
  </si>
  <si>
    <t>EL PAÍS</t>
  </si>
  <si>
    <t>https://elpais.com/chile/2026-02-23/la-ranita-descubierta-por-charles-darwin-en-chile-busca-salvarse-de-la-extincion.html</t>
  </si>
  <si>
    <t xml:space="preserve"> Científico/Educativo</t>
  </si>
  <si>
    <t>Hongo letal amenaza la supervivencia de la ranita de Darwin</t>
  </si>
  <si>
    <t>Noticias UNAB</t>
  </si>
  <si>
    <t>https://noticias.unab.cl/investigacion-con-sello-unab-revela-como-un-hongo-letal-amenaza-la-supervivencia-de-la-ranita-de-darwin/</t>
  </si>
  <si>
    <t>Dilucidan cómo una enfermedad está extinguiendo a la ranita de Darwin: ya mató a su especie hermana</t>
  </si>
  <si>
    <t>https://www.biobiochile.cl/noticias/ciencia-y-tecnologia/ciencia/2026/01/08/dilucidan-como-una-enfermedad-esta-extinguiendo-a-la-ranita-de-darwin-ya-mato-a-su-especie-hermana.shtml</t>
  </si>
  <si>
    <t>Científico chileno lidera estudio clave sobre la extinción de la ranita de Darwin</t>
  </si>
  <si>
    <t>24horas</t>
  </si>
  <si>
    <t>https://www.24horas.cl/conciencia-24-7/ciencia/cientifico-chileno-estudio-extincion-ranita-darwin</t>
  </si>
  <si>
    <t>Alianza internacional en Huilo Huilo busca proteger a la Ranita de Darwin de hongo letal</t>
  </si>
  <si>
    <t>https://www.cooperativa.cl/noticias/sociedad/fauna/alianza-internacional-en-huilo-huilo-busca-proteger-a-la-ranita-de/2026-02-06/124716.html</t>
  </si>
  <si>
    <t>Guardabosques chilenos y Zoólogico de Londres buscan salvar a la ranita de Darwin de la extinción</t>
  </si>
  <si>
    <t>ADN Radio</t>
  </si>
  <si>
    <t>https://www.adnradio.cl/2026/02/23/guardabosques-chilenos-y-zoologico-de-londres-buscan-salvar-a-la-ranita-de-darwin-de-la-extincion/</t>
  </si>
  <si>
    <t>Científico chileno lidera estudio que revela cómo un hongo letal está extinguiendo a la ranita de Darwin</t>
  </si>
  <si>
    <t>https://www.cooperativaciencia.cl/medio-ambiente/2026/01/02/cientifico-chileno-lidera-estudio-que-revela-como-un-hongo-letal-esta-extinguiendo-a-la-ranita-de-darwin/</t>
  </si>
  <si>
    <t>Investigación chilena descubre cómo un hongo invasivo provoca epidemias letales en anfibios terrestres</t>
  </si>
  <si>
    <t>https://www.biobiochile.cl/noticias/ciencia-y-tecnologia/ciencia/2026/01/26/investigacion-chilena-descubre-como-un-hongo-invasivo-provoca-epidemias-letales-en-anfibios-terrestres.shtml</t>
  </si>
  <si>
    <t>Retiran decreto que protegía al pingüino de Humboldt</t>
  </si>
  <si>
    <t>El Ovallino</t>
  </si>
  <si>
    <t>https://www.elovallino.cl/retiran-decreto-que-protegia-al-pinguino-de-humboldt/</t>
  </si>
  <si>
    <t>Denuncia / Conflicto</t>
  </si>
  <si>
    <t>Contra ranita de Darwin, pingüino de Humboldt y áreas protegidas: Kast defiende retiro de 43 decretos medioambientales</t>
  </si>
  <si>
    <t>Interferencia |</t>
  </si>
  <si>
    <t>https://interferencia.cl/articulos/contra-ranita-de-darwin-pinguino-de-humboldt-y-areas-protegidas-kast-defiende-retiro-de-43</t>
  </si>
  <si>
    <t>Contraloría aprueba plan para proteger a las Ranitas de Darwin tras revisión del Gobierno</t>
  </si>
  <si>
    <t>Radio Paulina</t>
  </si>
  <si>
    <t>https://radiopaulina.cl/2026/03/20/contraloria-aprueba-plan-para-proteger-a-las-ranitas-de-darwin-tras-revision-del-gobierno/</t>
  </si>
  <si>
    <t>Revelan cómo el hongo quítrido se propaga y empuja a la ranita de Darwin a la extinción en Chile</t>
  </si>
  <si>
    <t>https://www.elmostrador.cl/agenda-pais/agenda-sustentable/2026/01/09/revelan-como-el-hongo-quitrido-se-propaga-y-empuja-a-la-ranita-de-darwin-a-la-extincion-en-chile/</t>
  </si>
  <si>
    <t>Sclerostomulus nitidus</t>
  </si>
  <si>
    <t>borrachito</t>
  </si>
  <si>
    <t>1000 genomas: el proyecto que busca construir el inventario más completo de la biodiversidad de Chile</t>
  </si>
  <si>
    <t>Pontificia Universidad Católica de Chile</t>
  </si>
  <si>
    <t>https://biologia.uc.cl/1000-genomas-el-proyecto-que-busca-construir-el-inventario-mas-completo-de-la-biodiversidad-de-chile/</t>
  </si>
  <si>
    <t>Sephanoides fernandensis</t>
  </si>
  <si>
    <t>picaflor de Juan Fernández</t>
  </si>
  <si>
    <t>Chile levanta el mayor registro genético de su biodiversidad</t>
  </si>
  <si>
    <t>https://elpais.com/chile/2025-10-20/chile-levanta-el-mayor-registro-genetico-de-su-biodiversidad.html</t>
  </si>
  <si>
    <t>Sterphus aurifrons</t>
  </si>
  <si>
    <t>mosco de Juan Fernández, mosco de rostro dorado</t>
  </si>
  <si>
    <t>Succinea cryptica</t>
  </si>
  <si>
    <t>caracol terrestre Succinea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</si>
  <si>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</si>
  <si>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</si>
  <si>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</si>
  <si>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</si>
  <si>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</si>
  <si>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</si>
  <si>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</si>
  <si>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gorgona amarilla-roja</t>
  </si>
  <si>
    <t>Anthozoa</t>
  </si>
  <si>
    <t>Telmatobius chusmisensis</t>
  </si>
  <si>
    <t>sapo</t>
  </si>
  <si>
    <t>Telmatobius dankoi</t>
  </si>
  <si>
    <t>sapo de Danko</t>
  </si>
  <si>
    <t>Telmatobius fronteriensis</t>
  </si>
  <si>
    <t xml:space="preserve">sapo </t>
  </si>
  <si>
    <t>Telmatobius halli</t>
  </si>
  <si>
    <t>Telmatobius vilamensis</t>
  </si>
  <si>
    <t>rana de Vilama</t>
  </si>
  <si>
    <t>Tornatellina aperta</t>
  </si>
  <si>
    <t>caracol terrestre Tornatellina</t>
  </si>
  <si>
    <t>Tornatellina bilamellata</t>
  </si>
  <si>
    <t>Tornatellina callosa</t>
  </si>
  <si>
    <t>Tornatellina plicosa</t>
  </si>
  <si>
    <t>Tornatellina reclusiana</t>
  </si>
  <si>
    <t>Acalodegma vidali</t>
  </si>
  <si>
    <t>EN</t>
  </si>
  <si>
    <t>Aegla bahamondei</t>
  </si>
  <si>
    <t>Pancora</t>
  </si>
  <si>
    <t>Aegla concepcionensis</t>
  </si>
  <si>
    <t>Aegla expansa</t>
  </si>
  <si>
    <t>Aegla laevis</t>
  </si>
  <si>
    <t>Aegla occidentalis</t>
  </si>
  <si>
    <t>Aegla papudo</t>
  </si>
  <si>
    <t>Allograpta robinsoniana</t>
  </si>
  <si>
    <t>Mosca florícola de Juan Fernández</t>
  </si>
  <si>
    <t>Alsodes barrioi</t>
  </si>
  <si>
    <t>Sapo de Barros</t>
  </si>
  <si>
    <t>EN-RARA</t>
  </si>
  <si>
    <t>Alsodes cantillanensis</t>
  </si>
  <si>
    <t>Sapo</t>
  </si>
  <si>
    <t>Alsodes montanus</t>
  </si>
  <si>
    <t>Sapo de monte</t>
  </si>
  <si>
    <t>Alsodes tumultuosus</t>
  </si>
  <si>
    <t>Alsodes valdiviensis</t>
  </si>
  <si>
    <t>Rana de pecho espinoso de Cordillera Pelada</t>
  </si>
  <si>
    <t>Alsodes vanzolinii</t>
  </si>
  <si>
    <t>Sapo de Vanzolini</t>
  </si>
  <si>
    <t>Alsodes verrucosus</t>
  </si>
  <si>
    <t>Sapo de pecho espinoso de verrugas</t>
  </si>
  <si>
    <t>Alyma quiriquinaensis</t>
  </si>
  <si>
    <t>Típula pintada</t>
  </si>
  <si>
    <t>Americobdella valdiviana</t>
  </si>
  <si>
    <t>Liguay, sanguijuela gigante valdiviana</t>
  </si>
  <si>
    <t>Clitellata</t>
  </si>
  <si>
    <t>Amphidoxa arctispira</t>
  </si>
  <si>
    <t>Caracol terrestre Amphidoxa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</si>
  <si>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</si>
  <si>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</si>
  <si>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</si>
  <si>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</si>
  <si>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</si>
  <si>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</si>
  <si>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</si>
  <si>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</si>
  <si>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 xml:space="preserve">Cachudito de Juan Fernández </t>
  </si>
  <si>
    <t>Aplochiton marinus</t>
  </si>
  <si>
    <t>Peladilla</t>
  </si>
  <si>
    <t>Aplochiton zebra</t>
  </si>
  <si>
    <t>Apterodorcus tristis</t>
  </si>
  <si>
    <t>Mancapollo, pica pollo, borracho, borrachito, buey</t>
  </si>
  <si>
    <t>Ardenna creatopus</t>
  </si>
  <si>
    <t>Fardela blanca</t>
  </si>
  <si>
    <t>Bolborhinum trilobulicorne</t>
  </si>
  <si>
    <t>Escarabajo</t>
  </si>
  <si>
    <t>Brachistosternus cepedai</t>
  </si>
  <si>
    <t>Escorpión de Cepeda</t>
  </si>
  <si>
    <t>Bullockia maldonadoi</t>
  </si>
  <si>
    <t>Bagrecito</t>
  </si>
  <si>
    <t>Callyntra cantillana</t>
  </si>
  <si>
    <t>Cascarudo de Cantillana</t>
  </si>
  <si>
    <t>Callyntra multicosta</t>
  </si>
  <si>
    <t>Cascarudo de Las Docas</t>
  </si>
  <si>
    <t>Callyntra penai</t>
  </si>
  <si>
    <t>Cascarudo de Peña</t>
  </si>
  <si>
    <t>Callyntra planiuscula</t>
  </si>
  <si>
    <t>Cascarudo de la Plata</t>
  </si>
  <si>
    <t>Charopa involuta</t>
  </si>
  <si>
    <t>Caracol terrestre Charopa</t>
  </si>
  <si>
    <t>Charopa masafuerae</t>
  </si>
  <si>
    <t>Cheirodon kiliani</t>
  </si>
  <si>
    <t>Pocha</t>
  </si>
  <si>
    <t>Chileputo chilensis</t>
  </si>
  <si>
    <t>Chanchito blanco de la araucaria</t>
  </si>
  <si>
    <t xml:space="preserve">EN </t>
  </si>
  <si>
    <t>Chinchilla lanigera</t>
  </si>
  <si>
    <t>Chinchilla costina</t>
  </si>
  <si>
    <t>Mammalia</t>
  </si>
  <si>
    <t>Chrysiptera rapanui</t>
  </si>
  <si>
    <t>Mamata</t>
  </si>
  <si>
    <t>Cnemalobus hirsutus</t>
  </si>
  <si>
    <t>Cnemalobus nuria</t>
  </si>
  <si>
    <t>Conognatha azarae fisheri</t>
  </si>
  <si>
    <t>Balita, insecto joya de Fisher</t>
  </si>
  <si>
    <t>Conognatha leechi</t>
  </si>
  <si>
    <t>Balita, insecto joya de Leech</t>
  </si>
  <si>
    <t>Diplomystes camposensis</t>
  </si>
  <si>
    <t>Tollo</t>
  </si>
  <si>
    <t>Diplomystes chilensis</t>
  </si>
  <si>
    <t>Tollo de agua dulce</t>
  </si>
  <si>
    <t>Diplomystes nahuelbutaensis</t>
  </si>
  <si>
    <t xml:space="preserve">Tollo </t>
  </si>
  <si>
    <t>Enodisomacris curtipennis</t>
  </si>
  <si>
    <t xml:space="preserve">Langosta de alas cortas; langosta de Ureta; langosta de Lila; langosta de La Chimba
</t>
  </si>
  <si>
    <t>Erichius virgatus</t>
  </si>
  <si>
    <t>Borrachito de Tolhuaca, borrachito listado de Tolhuaca</t>
  </si>
  <si>
    <t>Euathlus affinis</t>
  </si>
  <si>
    <t>Tarántula afín de Santiago</t>
  </si>
  <si>
    <t>Eupsophus altor</t>
  </si>
  <si>
    <t>Rana de hojarasca de Oncol</t>
  </si>
  <si>
    <t>Eupsophus contulmoensis</t>
  </si>
  <si>
    <t>Sapo de Contulmo</t>
  </si>
  <si>
    <t>Eupsophus insularis</t>
  </si>
  <si>
    <t>Sapo de Isla Mocha</t>
  </si>
  <si>
    <t>Eupsophus migueli</t>
  </si>
  <si>
    <t>Sapo de Miguel</t>
  </si>
  <si>
    <t>Eupsophus nahuelbutensis</t>
  </si>
  <si>
    <t>Sapo de Nahuelbuta</t>
  </si>
  <si>
    <t>Eupsophus septentrionalis</t>
  </si>
  <si>
    <t>Ranita de Los Queules</t>
  </si>
  <si>
    <t>Exallococcus laureliae</t>
  </si>
  <si>
    <t>Cochinilla de fieltro (genérico)</t>
  </si>
  <si>
    <t>Falco sparverius fernandenzis</t>
  </si>
  <si>
    <t>Cernícalo de Juan Fernández</t>
  </si>
  <si>
    <t>Fernandezia bulimoides</t>
  </si>
  <si>
    <t>Caracol terrestre de Juan Fernández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</si>
  <si>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</si>
  <si>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</si>
  <si>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</si>
  <si>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</si>
  <si>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</si>
  <si>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</si>
  <si>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</si>
  <si>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</si>
  <si>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</si>
  <si>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</si>
  <si>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</si>
  <si>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Galaxias globiceps</t>
  </si>
  <si>
    <t>Puye</t>
  </si>
  <si>
    <t>Gyriosomus angustus</t>
  </si>
  <si>
    <t>Vaquita del desierto de Paposo</t>
  </si>
  <si>
    <t>Heleobia ascotanensis</t>
  </si>
  <si>
    <t>Caracol</t>
  </si>
  <si>
    <t>Henicotherus francisca</t>
  </si>
  <si>
    <t>No conocido</t>
  </si>
  <si>
    <t>Homoeomma orellanai</t>
  </si>
  <si>
    <t>Tarántula enana de penacho amarillo, araña pollito</t>
  </si>
  <si>
    <t>Insuetophrynus acarpicus</t>
  </si>
  <si>
    <t xml:space="preserve">Sapo </t>
  </si>
  <si>
    <t>Lasia pulla</t>
  </si>
  <si>
    <t>Mosca colibrí enana</t>
  </si>
  <si>
    <t>Liolaemus buergeri</t>
  </si>
  <si>
    <t>Lagartija de Bürger</t>
  </si>
  <si>
    <t>Liolaemus carlosgarini</t>
  </si>
  <si>
    <t>Lagartija de Garín</t>
  </si>
  <si>
    <t>Liolaemus chillanensis</t>
  </si>
  <si>
    <t>Lagarto de Chillán</t>
  </si>
  <si>
    <t>Liolaemus fabiani</t>
  </si>
  <si>
    <t>Lagartija de Fabián</t>
  </si>
  <si>
    <t>Liolaemus foxi</t>
  </si>
  <si>
    <t>Lagartija de Fox</t>
  </si>
  <si>
    <t>Liolaemus frassinettii</t>
  </si>
  <si>
    <t>Lagartija del Cerro Cantillana, lagarto de Frassinetti</t>
  </si>
  <si>
    <t>Liolaemus leftrarui</t>
  </si>
  <si>
    <t>Lagartija de Leftraru, Leftraru’s Lizard (Inglés)</t>
  </si>
  <si>
    <t>Liolaemus leopardinus</t>
  </si>
  <si>
    <t>Lagarto leopardo</t>
  </si>
  <si>
    <t>Liolaemus manueli</t>
  </si>
  <si>
    <t>Lagartija de Manuel</t>
  </si>
  <si>
    <t>Liolaemus nigrocoeruleus</t>
  </si>
  <si>
    <t>Lagartija negro azulada, Black Bluish Lizard (Inglés)</t>
  </si>
  <si>
    <t>Liolaemus poconchilensis</t>
  </si>
  <si>
    <t>Lagarto de Poconchile</t>
  </si>
  <si>
    <t>Liolaemus scorialis</t>
  </si>
  <si>
    <t>Lagarto del escorial, Slag Lizard (Inglés)</t>
  </si>
  <si>
    <t>Liolaemus septentrionalis</t>
  </si>
  <si>
    <t>Lagartija pintada septentrional, Northern Painted Lizard (Inglés)</t>
  </si>
  <si>
    <t>Liolaemus ubaghsi</t>
  </si>
  <si>
    <t>Lagarto leopardo de Ubaghs, Ubaghs’ Leopard Lizard (Inglés)</t>
  </si>
  <si>
    <t>Liolaemus villaricensis</t>
  </si>
  <si>
    <t>Lagartija</t>
  </si>
  <si>
    <t>Luispenaia paposo</t>
  </si>
  <si>
    <t>Pololo de Paposo</t>
  </si>
  <si>
    <t>Lycalopex fulvipes</t>
  </si>
  <si>
    <t>Zorro de Chiloé</t>
  </si>
  <si>
    <t>Lynceus huentelauquensis</t>
  </si>
  <si>
    <t>Camarón almeja de Huentelauquén</t>
  </si>
  <si>
    <t>Branchiopoda</t>
  </si>
  <si>
    <t>Mordacia lapicida</t>
  </si>
  <si>
    <t>Lamprea de agua dulce</t>
  </si>
  <si>
    <t>Cephalaspidomorphi</t>
  </si>
  <si>
    <t>Nematogenys inermis</t>
  </si>
  <si>
    <t>Bagre grande</t>
  </si>
  <si>
    <t>Neuquenaphis staryi</t>
  </si>
  <si>
    <t>No tiene, se propone "pulgón del Ruíl"</t>
  </si>
  <si>
    <t>Nycterinus angusticollis</t>
  </si>
  <si>
    <t>Insecto joya</t>
  </si>
  <si>
    <t>Nycterinus borealis</t>
  </si>
  <si>
    <t>Cucaracho negro</t>
  </si>
  <si>
    <t>Nycterinus mannerheimi</t>
  </si>
  <si>
    <t>Tenebrio de Mannerheim, teatino de Mannerheim</t>
  </si>
  <si>
    <t>Oogenius castilloi</t>
  </si>
  <si>
    <t>Oogenius penai</t>
  </si>
  <si>
    <t>Orestias ascotanensis</t>
  </si>
  <si>
    <t>Karachi, orestias</t>
  </si>
  <si>
    <t>Orestias chungarensis</t>
  </si>
  <si>
    <t>Orestias laucaensis</t>
  </si>
  <si>
    <t>Orestias parinacotensis</t>
  </si>
  <si>
    <t>Paropisthopatus umbrinus</t>
  </si>
  <si>
    <t>Gusano aterciopelado, onicóforo (genérico)</t>
  </si>
  <si>
    <t>Udeonycophora</t>
  </si>
  <si>
    <t>Percilia gillissi</t>
  </si>
  <si>
    <t>Carmelita</t>
  </si>
  <si>
    <t>Percilia irwini</t>
  </si>
  <si>
    <t>Carmelita de Concepción</t>
  </si>
  <si>
    <t>Phyllopetalia altarensis</t>
  </si>
  <si>
    <t>Phymaturus bibronii</t>
  </si>
  <si>
    <t>Matuasto de Bibron</t>
  </si>
  <si>
    <t>Phymaturus darwini</t>
  </si>
  <si>
    <t>Matuasto de Darwin, lagarto de cola gruesa</t>
  </si>
  <si>
    <t>Phymaturus maulense</t>
  </si>
  <si>
    <t>Matuasto</t>
  </si>
  <si>
    <t>Plectostylus araucanus</t>
  </si>
  <si>
    <t>Caracol de árbol araucano, caracol de árbol</t>
  </si>
  <si>
    <t>Praocis aenea</t>
  </si>
  <si>
    <t>Vaquita</t>
  </si>
  <si>
    <t>Praocis bicentenario</t>
  </si>
  <si>
    <t>Vaquita del bicentenario</t>
  </si>
  <si>
    <t>Pristidactylus valeriae</t>
  </si>
  <si>
    <t>Gruñidor de Valeria</t>
  </si>
  <si>
    <t>Pristidactylus volcanensis</t>
  </si>
  <si>
    <t>Gruñidor de El Volcán</t>
  </si>
  <si>
    <t>Pterodroma externa</t>
  </si>
  <si>
    <t>Fardela blanca de Juan Fernández, petrel de Juan Fernández</t>
  </si>
  <si>
    <t>Pterodroma longirostris</t>
  </si>
  <si>
    <t>Fardela de Más Afuera</t>
  </si>
  <si>
    <t>Ptychodon oculta</t>
  </si>
  <si>
    <t>Caracol terrestre Ptychodon</t>
  </si>
  <si>
    <t>Ptychodon skottsberg</t>
  </si>
  <si>
    <t>Scotobius planicosta</t>
  </si>
  <si>
    <t>Succinea fragilis</t>
  </si>
  <si>
    <t>Caracol terrestre Succinea</t>
  </si>
  <si>
    <t>Succinea mamillata</t>
  </si>
  <si>
    <t>Succinea pinguis</t>
  </si>
  <si>
    <t>Telmatobius pefauri</t>
  </si>
  <si>
    <t>Sapo de Pefaur</t>
  </si>
  <si>
    <t>Telmatobius philippii</t>
  </si>
  <si>
    <t>Sapo de Philippi</t>
  </si>
  <si>
    <t>Telmatobius zapahuirensis</t>
  </si>
  <si>
    <t>Sapo de Zapahuira</t>
  </si>
  <si>
    <t>Telmatobufo ignotus</t>
  </si>
  <si>
    <t>Rana montana de Los Queules</t>
  </si>
  <si>
    <t>Telmatobufo venustus</t>
  </si>
  <si>
    <t>Sapo hermoso</t>
  </si>
  <si>
    <t>Tornatellina minuta</t>
  </si>
  <si>
    <t>Caracol terrestre Tornatellina</t>
  </si>
  <si>
    <t>Trichomycterus chiltoni</t>
  </si>
  <si>
    <t>Trichomycterus chungaraensis</t>
  </si>
  <si>
    <t>Trichomycterus laucaensis</t>
  </si>
  <si>
    <t>Trichomycterus rivulatus</t>
  </si>
  <si>
    <t>Uretacris lilai</t>
  </si>
  <si>
    <t>Langosta de Ureta, langosta de Lila, langosta de La Chimba</t>
  </si>
  <si>
    <t>Valdiviomyia gigantea</t>
  </si>
  <si>
    <t>Mosca florícola valdiviana gigante</t>
  </si>
  <si>
    <t>Virilastacus rucapihuelensis</t>
  </si>
  <si>
    <t>Camarón</t>
  </si>
  <si>
    <t>Hippocamelus bisulcus</t>
  </si>
  <si>
    <t>huemul, taruca, wümul, güemul, shoan, shoen, trula, hueque, ciervo sur andino</t>
  </si>
  <si>
    <t>El pingüino de Humboldt es declarado Monumento Natural de Chile</t>
  </si>
  <si>
    <t>ELPINGUINO.COM</t>
  </si>
  <si>
    <t>https://www.elpinguino.com/noticia/2026/02/16/el-pinguino-de-humboldt-es-declarado-monumento-natural-de-chile</t>
  </si>
  <si>
    <t>Dispersión forzada y ausencia de planificación metapoblacional en la conservación del huemul</t>
  </si>
  <si>
    <t>Universidad Austral de Chile</t>
  </si>
  <si>
    <t>https://diario.uach.cl/dispersion-forzada-y-ausencia-de-planificacion-metapoblacional-en-la-conservacion-del-huemul/</t>
  </si>
  <si>
    <t>Senda del Huemul 2026 refuerza compromiso por la conservación en Parque Cerro Castillo</t>
  </si>
  <si>
    <t>Diario Sostenible</t>
  </si>
  <si>
    <t>https://www.diariosostenible.cl/noticia/actualidad/2026/03/senda-del-huemul-2026-refuerza-compromiso-por-la-conservacion-en-parque-cerro-castillo</t>
  </si>
  <si>
    <t xml:space="preserve"> Conservación/Positivo</t>
  </si>
  <si>
    <t>Inaugura primer centro de rescate del huemul del sur para proteger al ciervo más austral del mundo</t>
  </si>
  <si>
    <t>https://www.elmostrador.cl/agenda-pais/agenda-sustentable/2025/10/27/inaugura-primer-centro-de-rescate-del-huemul-del-sur-para-proteger-al-ciervo-mas-austral-del-mundo/</t>
  </si>
  <si>
    <t>Diario Regional Aysén</t>
  </si>
  <si>
    <t>https://www.diarioregionalaysen.cl/noticia/diario-sostenible/2026/03/senda-del-huemul-2026-refuerza-compromiso-por-la-conservacion-en-parque-cerro-castillo</t>
  </si>
  <si>
    <t>Desarrollo productivo y protección del huemul marcan cierre de programas FIC en la Reserva de la Biósfera</t>
  </si>
  <si>
    <t>La Discusión</t>
  </si>
  <si>
    <t>https://ladiscusion.cl/desarrollo-productivo-y-proteccion-del-huemul-marcan-cierre-de-programas-fic-en-la-reserva-de-la-biosfera/</t>
  </si>
  <si>
    <t>Rhinoderma darwinii</t>
  </si>
  <si>
    <t>ranita de Darwin</t>
  </si>
  <si>
    <t>Oceana: Los pingüinos de Humboldt "están en peligro", no tienen el mismo tiempo que los gobiernos</t>
  </si>
  <si>
    <t>Universidad de Chile</t>
  </si>
  <si>
    <t>https://radio.uchile.cl/2026/03/19/oceana-los-pinguinos-de-humboldt-estan-en-peligro-no-tienen-el-mismo-tiempo-que-los-gobiernos/</t>
  </si>
  <si>
    <t>¿Sin protección?: Ranita de Darwin y Pingüino de Humboldt, las dos especies icónicas de Chile en medio del debate ambiental</t>
  </si>
  <si>
    <t>Publimetro</t>
  </si>
  <si>
    <t>https://www.publimetro.cl/noticias/2026/03/17/sin-proteccion-ranita-de-darwin-y-pinguino-de-humboldt-las-dos-especies-iconicas-de-chile-en-medio-del-debate-ambiental/</t>
  </si>
  <si>
    <t>Protección del pingüino de Humboldt y descontaminación del lago Villarrica: las razones del Ejecutivo para retirar 43 decretos ambientales</t>
  </si>
  <si>
    <t>El Dínamo</t>
  </si>
  <si>
    <t>https://www.eldinamo.cl/sociedad/medio-ambiente/2026/03/17/proteccion-del-pinguino-de-humboldt-y-descontaminacion-del-lago-villarrica-las-razones-del-ejecutivo-para-retirar-43-decretos-ambientales/</t>
  </si>
  <si>
    <t>Denuncia/Conflicto</t>
  </si>
  <si>
    <t>Gobierno retira más de 40 decretos ambientales que creaban parques nacionales y otorgaban protección a la ranita de Darwin y el pingüino de Humboldt</t>
  </si>
  <si>
    <t>https://www.theclinic.cl/2026/03/17/gobierno-retira-mas-de-40-decretos-ambientales-que-creaban-parques-nacionales-y-otorgaban-proteccion-a-la-ranita-de-darwin-y-el-pinguino-de-humboldt/</t>
  </si>
  <si>
    <t>Pingüino de Humboldt y ranita de Darwin: Revisa el estado actual de los 43 decretos ambientales retirados por Kast</t>
  </si>
  <si>
    <t>https://eldesconcierto.cl/2026/03/20/pinguino-de-humboldt-y-ranita-de-darwin-revisa-el-estado-actual-de-los-43-decretos-ambientales-retirados-por-kast</t>
  </si>
  <si>
    <t>Conservación/Positivo</t>
  </si>
  <si>
    <t>Debate ambiental en Chile: Ranita de Darwin y Pingüino de Humboldt en riesgo</t>
  </si>
  <si>
    <t>Radio Canal 95</t>
  </si>
  <si>
    <t>https://www.canal95.cl/nacional/debate-ambiental-chile-ranita-darwin-pinguino-humboldt-riesgo</t>
  </si>
  <si>
    <t>“Desde hoy en adelante no usaré desodorante, sólo Tanax”: insecticida se vuelve viral por crítica a retiro de decreto que protegía a Pingüino de Humboldt y Ranita de Darwin</t>
  </si>
  <si>
    <t>https://www.publimetro.cl/social/2026/03/18/desde-hoy-en-adelante-no-usare-desodorante-solo-tanax-insecticida-se-vuelve-viral-por-critica-a-retiro-de-decreto-que-protegia-a-pinguino-de-humboldt-y-ranita-de-darwin/</t>
  </si>
  <si>
    <t>Ranita de Darwin: La increíble historia de su viaje a Londres para salvarlas de la extinción</t>
  </si>
  <si>
    <t>https://www.cooperativaciencia.cl/radiociencia/2026/03/20/ranita-de-darwin-la-increible-historia-de-su-viaje-a-londres-para-salvarlas-de-una-epidemia-en-2024/</t>
  </si>
  <si>
    <t>Descubren nueva población de ranita de Darwin en zona amenazada por construcción de carretera eléctrica en Chiloé</t>
  </si>
  <si>
    <t>https://eldesconcierto.cl/2026/02/21/descubren-nueva-poblacion-de-ranita-de-darwin-en-zona-amenazada-por-construccion-de-carretera-electrica-en-chiloe</t>
  </si>
  <si>
    <t>Alianza en la Reserva Biológica Huilo Huilo busca proteger a la ranita de Darwin de la extinción</t>
  </si>
  <si>
    <t>https://www.cooperativaciencia.cl/medio-ambiente/2026/02/05/alianza-en-la-reserva-biologica-huilo-huilo-busca-proteger-a-la-ranita-de-darwin-de-la-extincion/</t>
  </si>
  <si>
    <t>Descubren nueva población de Ranita de Darwin en Villarrica</t>
  </si>
  <si>
    <t>https://www.cooperativaciencia.cl/medio-ambiente/2025/09/25/descubren-nueva-poblacion-de-ranita-de-darwin-en-villarrica/</t>
  </si>
  <si>
    <t>Spheniscus humboldti</t>
  </si>
  <si>
    <t>pingüino de Humboldt, pingüino, pájaro niño, patranka, Humboldt Penguin (inglés), Peruvian penguin (inglés)</t>
  </si>
  <si>
    <t>Chile: Gobierno frena protección del pingüino de Humboldt</t>
  </si>
  <si>
    <t>dw.com</t>
  </si>
  <si>
    <t>https://www.dw.com/es/chile-nuevo-gobierno-frena-protecci%C3%B3n-del-ping%C3%BCino-de-humboldt/a-76420241</t>
  </si>
  <si>
    <t>nacional</t>
  </si>
  <si>
    <t>Consejo de Ministros declara al pingüino de Humboldt como Monumento Natural para aumentar su protección</t>
  </si>
  <si>
    <t>MMA – Ministerio del Medio Ambiente</t>
  </si>
  <si>
    <t>https://mma.gob.cl/consejo-de-ministros-declara-al-pinguino-de-humboldt-como-monumento-natural-para-aumentar-su-proteccion/</t>
  </si>
  <si>
    <t>Bucea como un profesional, pero tiene el corazón frágil: los 4 datos sobre el pingüino de Humboldt</t>
  </si>
  <si>
    <t>nationalgeographicla.com</t>
  </si>
  <si>
    <t>https://www.nationalgeographicla.com/animales/2026/01/bucea-como-un-profesional-pero-tiene-el-corazon-fragil-los-4-datos-sobre-el-pinguino-de-humboldt</t>
  </si>
  <si>
    <t>Internacional</t>
  </si>
  <si>
    <t>Pingüino de Humboldt en peligro de extinción: el 80% de la población mundial de esta especie habita en Chile.</t>
  </si>
  <si>
    <t>greenpeace.org</t>
  </si>
  <si>
    <t>https://www.greenpeace.org/chile/noticia/issues/oceanos/pinguino-de-humboldt-en-peligro-de-extincion-el-80-de-la-poblacion-mundial-de-esta-especie-habita-en-chile/</t>
  </si>
  <si>
    <t>Chile inicia proceso para declarar Monumento Natural al pingüino de Humboldt</t>
  </si>
  <si>
    <t>https://elpinguino.com/noticia/2026/01/23/chile-inicia-proceso-para-declarar-monumento-natural-al-pinguino-de-humboldt</t>
  </si>
  <si>
    <t>Reactivan permiso ambiental de Dominga mientras crece incertidumbre por protección del pingüino de Humboldt</t>
  </si>
  <si>
    <t>https://laderasur.com/articulo/reactivan-permiso-ambiental-de-dominga-mientras-crece-incertidumbre-por-proteccion-del-pinguino-de-humboldt/</t>
  </si>
  <si>
    <t>Declaran al pingüino de Humboldt como Monumento Natural de especie en todo Chile</t>
  </si>
  <si>
    <t>https://radio.uchile.cl/2026/02/14/declaran-al-pinguino-de-humboldt-como-monumento-natural-de-especie-en-todo-chile/</t>
  </si>
  <si>
    <t>Pingüino de Humboldt ya es Monumento Natural en Chile</t>
  </si>
  <si>
    <t>Identidad y Futuro</t>
  </si>
  <si>
    <t>https://identidadyfuturo.cl/2026/03/12/pinguino-de-humboldt-monumento-natural-chile/</t>
  </si>
  <si>
    <t>Especialistas UdeC analizan impacto ambiental que pone en riesgo al pingüino de Humboldt</t>
  </si>
  <si>
    <t>Noticias UdeC</t>
  </si>
  <si>
    <t>https://noticias.udec.cl/especialistas-udec-analizan-impacto-ambiental-que-pone-en-riesgo-al-pinguino-de-humboldt/</t>
  </si>
  <si>
    <t>Uno de los últimos refugios del Pingüino de Humboldt que debes visitar el 2026</t>
  </si>
  <si>
    <t>Chile Travel</t>
  </si>
  <si>
    <t>https://chile.travel/blog/uno-de-los-ultimos-refugios-del-pinguino-de-humboldt-que-debes-visitar-el-2026/</t>
  </si>
  <si>
    <t>Turismo / Difusión</t>
  </si>
  <si>
    <t>Experto advierte qué pasaría si se extingue el pingüino de Humboldt: "Sería un tremendo impacto"</t>
  </si>
  <si>
    <t>https://www.biobiochile.cl/noticias/ciencia-y-tecnologia/medio-ambiente-cyt/2026/03/18/experto-advierte-que-pasaria-si-se-extingue-el-pinguino-de-humboldt-seria-un-tremendo-impacto.shtml</t>
  </si>
  <si>
    <t>Pingüino de Humboldt pasa a “en peligro” en Chile y alerta a especialistas</t>
  </si>
  <si>
    <t>https://elpinguino.com/noticia/2025/10/24/pinguino-de-humboldt-pasa-a-en-peligro-en-chile-y-alerta-a-especialistas</t>
  </si>
  <si>
    <t>¡Últimos días! El pingüino de Humboldt necesita tu ayuda: Así puedes apoyar su declaratoria como Monumento Natural de Chile</t>
  </si>
  <si>
    <t>https://laderasur.com/articulo/ultimos-dias-el-pinguino-de-humboldt-necesita-tu-ayuda-asi-puedes-apoyar-su-declaratoria-como-monumento-natural-de-chile/</t>
  </si>
  <si>
    <t>Declaran al pingüino de Humboldt como Monumento Natural: ¿qué implica esta categoría?</t>
  </si>
  <si>
    <t>Teletrece</t>
  </si>
  <si>
    <t>https://www.t13.cl/noticia/nacional/declaran-al-pinguino-humboldt-como-monumento-natural-implica-esta-categoria-15-2-2026</t>
  </si>
  <si>
    <t>Experto y retiro de decreto que protegía al pingüino de Humboldt: "argumentos eran bastante sólidos"</t>
  </si>
  <si>
    <t>https://www.biobiochile.cl/noticias/ciencia-y-tecnologia/medio-ambiente-cyt/2026/03/17/experto-y-retiro-de-decreto-que-protegia-al-pinguino-de-humboldt-argumentos-eran-bastante-solidos.shtml</t>
  </si>
  <si>
    <t>Pingüino de Humboldt: El llamado a proteger a esta especie en peligro de conservación</t>
  </si>
  <si>
    <t>https://www.cooperativaciencia.cl/medio-ambiente/2026/01/20/pinguino-de-humboldt-el-llamado-a-proteger-a-esta-especie-en-peligro-de-conservacion/</t>
  </si>
  <si>
    <t>Chile declara al pingüino de Humboldt Monumento Natural y refuerza su protección en todo el país</t>
  </si>
  <si>
    <t>https://www.elmostrador.cl/agenda-pais/agenda-sustentable/2026/02/19/chile-declara-al-pinguino-de-humboldt-monumento-natural-y-refuerza-su-proteccion-en-todo-el-pais/</t>
  </si>
  <si>
    <t>Chile declara oficialmente al pingüino de Humboldt en peligro de extinción: ¿se puede recuperar?</t>
  </si>
  <si>
    <t>https://www.biobiochile.cl/noticias/ciencia-y-tecnologia/ciencia/2025/10/23/chile-declara-oficialmente-al-pinguino-de-humboldt-en-peligro-de-extincion-se-puede-recuperar.shtml</t>
  </si>
  <si>
    <t>Registran por primera vez un pingüino de Humboldt albino en Chile: "Queda más expuesto a depredadores"</t>
  </si>
  <si>
    <t>https://www.biobiochile.cl/noticias/ciencia-y-tecnologia/ciencia/2026/01/20/registran-por-primera-vez-un-pinguino-de-humboldt-albino-en-chile-queda-mas-expuesto-a-depredadores.shtml</t>
  </si>
  <si>
    <t>Últimos días para apoyar: el pingüino de Humboldt necesita tu ayuda para ser Monumento Natural de Chile</t>
  </si>
  <si>
    <t>https://www.t13.cl/noticia/nacional/ultimos-dias-para-apoyar-pinguino-humboldt-necesita-tu-ayuda-para-ser-monumento-29-1-2026</t>
  </si>
  <si>
    <t>Pingüino de Humboldt es declarado Monumento Natural en Chile</t>
  </si>
  <si>
    <t>https://www.diariosostenible.cl/noticia/premios-y-reconocimientos/2026/02/pinguino-de-humboldt-es-declarado-monumento-natural-en-chile</t>
  </si>
  <si>
    <t>Chile abre consulta ciudadana para declarar Monumento Natural al pingüino de Humboldt: Cómo participar</t>
  </si>
  <si>
    <t>https://eldesconcierto.cl/2026/01/23/chile-abre-consulta-ciudadana-para-declarar-monumento-natural-al-pinguino-de-humboldt-como-participar</t>
  </si>
  <si>
    <t>Pingüino de Humboldt es declarado Monumento Natural en Chile: ¿qué significa?</t>
  </si>
  <si>
    <t>Canal 13</t>
  </si>
  <si>
    <t>https://www.13.cl/c/programas/espacio-13c/pinguino-de-humboldt-es-declarado-monumento-natural-en-chile-que-significa</t>
  </si>
  <si>
    <t>Pingüino de Humboldt En Peligro: “La nueva clasificación muestra que debemos tomar acciones para cuidar la corriente de Humboldt”</t>
  </si>
  <si>
    <t>https://laderasur.com/articulo/pinguino-de-humboldt-en-peligro-la-nueva-clasificacion-muestra-que-debemos-tomar-acciones-para-cuidar-la-corriente-de-humboldt/</t>
  </si>
  <si>
    <t>Expertos alertan grave disminución del pingüino de Humboldt en Chile: quedan menos de 20 mil ejemplares</t>
  </si>
  <si>
    <t>https://www.adnradio.cl/2025/11/11/expertos-alertan-grave-disminucion-del-pinguino-de-humboldt-en-chile-quedan-menos-de-20-mil-ejemplares/</t>
  </si>
  <si>
    <t>Investigación registró primer hallazgo de pingüino de Humboldt albino en la Región del Biobío</t>
  </si>
  <si>
    <t>https://www.elmostrador.cl/cultura/2026/01/22/investigacion-registro-primer-hallazgo-de-pinguino-de-humboldt-albino-en-la-region-del-biobio/</t>
  </si>
  <si>
    <t>Retiran decreto que buscaba declarar Monumento Natural al pingüino de Humboldt</t>
  </si>
  <si>
    <t>https://www.elmostrador.cl/agenda-pais/2026/03/17/retiran-decreto-que-buscaba-declarar-monumento-natural-al-pinguino-de-humboldt/</t>
  </si>
  <si>
    <t>Tras retiro de decretos: ¿cuál es la importancia del Pingüino de Humboldt en el equilibrio del océano?</t>
  </si>
  <si>
    <t>https://www.biobiochile.cl/noticias/bbcl-explica/bbcl-explica-notas/2026/03/18/tras-retiro-de-decretos-cual-es-la-importancia-del-pinguino-de-humboldt-en-el-equilibrio-del-oceano.shtml</t>
  </si>
  <si>
    <t>El Pingüino de Humboldt: Más que un símbolo, una urgencia de conservación. Por Carlos Flores Olivares. Docente Investigador de Medicina Veterinaria, Universidad del Alba</t>
  </si>
  <si>
    <t>G5noticias</t>
  </si>
  <si>
    <t>https://g5noticias.cl/2026/03/09/el-pinguino-de-humboldt-mas-que-un-simbolo-una-urgencia-de-conservacion-por-carlos-flores-olivares-docente-investigador-de-medicina-veterinaria-universidad-del-alba/</t>
  </si>
  <si>
    <t>Estas son las mejores partes de Chile donde se puede ver al pingüino de Humboldt</t>
  </si>
  <si>
    <t>elnortero.cl</t>
  </si>
  <si>
    <t>https://www.elnortero.cl/noticia/sociedad/estas-son-las-mejores-partes-de-chile-donde-se-puede-ver-al-pingueino-de-humboldt</t>
  </si>
  <si>
    <t>Chile abre consulta ciudadana para declarar al pingüino de Humboldt Monumento Natural</t>
  </si>
  <si>
    <t>https://www.meteored.cl/noticias/actualidad/chile-abre-consulta-ciudadana-para-declarar-al-pinguino-de-humboldt-monumento-natural.html</t>
  </si>
  <si>
    <t>Últimos días para salvar al pingüino de Humboldt en Chile</t>
  </si>
  <si>
    <t>thetimes.lat</t>
  </si>
  <si>
    <t>https://thetimes.cl/contenido/9843/ultimos-dias-para-salvar-al-pinguino-de-humboldt-en-chile</t>
  </si>
  <si>
    <t>Pingüino de Humboldt albino es visto frente a la costa de Hualpén</t>
  </si>
  <si>
    <t>soychile.cl</t>
  </si>
  <si>
    <t>https://www.soychile.cl/santiago/tendencias/2026/01/21/937305/pinguino-humboldt-albino-costa-hualpen.html</t>
  </si>
  <si>
    <t>Greenpeace exige medidas urgentes para salvar al pingüino de Humboldt: "No podemos seguir destruyendo"</t>
  </si>
  <si>
    <t>https://www.biobiochile.cl/noticias/ciencia-y-tecnologia/ciencia/2025/10/28/greenpeace-exige-medidas-urgentes-para-salvar-al-pinguino-de-humboldt-no-podemos-seguir-destruyendo.shtml</t>
  </si>
  <si>
    <t>¿Por qué fue declarado el pingüino de Humboldt en peligro de extinción? Alertan sobre crítica situación en Chile y los riesgos de Dominga</t>
  </si>
  <si>
    <t>elciudadano.com</t>
  </si>
  <si>
    <t>https://www.elciudadano.com/actualidad/por-que-fue-declarado-el-pinguino-de-humboldt-en-peligro-de-extincion-alertan-sobre-critica-situacion-en-chile-y-los-peligros-de-dominga/11/01/</t>
  </si>
  <si>
    <t>La Serena será sede del Seminario Pingüino de Humboldt en peligro de extinción</t>
  </si>
  <si>
    <t>El Serenense</t>
  </si>
  <si>
    <t>https://www.elserenense.cl/comunales/2025/11/11/la-serena-sera-sede-del-seminario-pinguino-de-humboldt-en-peligro-de-extincion/</t>
  </si>
  <si>
    <t>¿Pingüino de Humboldt albino en Biobío?: hallazgo inédito abre retos científicos y de conservación</t>
  </si>
  <si>
    <t>Diario Concepción</t>
  </si>
  <si>
    <t>https://www.diarioconcepcion.cl/ciencia-y-sociedad/2026/01/30/pinguino-de-humboldt-albino-en-biobio-hallazgo-inedito-abre-retos-cientificos-y-de-conservacion.html</t>
  </si>
  <si>
    <t>Registran por primera vez en Chile un ejemplar de pingüino de Humboldt albino</t>
  </si>
  <si>
    <t>Diario Usach</t>
  </si>
  <si>
    <t>https://www.diariousach.cl/registran-por-primera-vez-en-chile-un-ejemplar-de-pinguino-de-humboldt</t>
  </si>
  <si>
    <t>Científico/Educativo</t>
  </si>
  <si>
    <t>Pingüino de Humboldt en peligro de extinción: la contaminación y el cambio climático lo acorralan</t>
  </si>
  <si>
    <t>https://www.elmostrador.cl/agenda-pais/agenda-social/2025/11/11/pinguino-de-humboldt-en-peligro-de-extincion-la-contaminacion-y-el-cambio-climatico-lo-acorralan/</t>
  </si>
  <si>
    <t>Detectan primer pingüino de Humboldt albino en el Biobío</t>
  </si>
  <si>
    <t>https://www.24horas.cl/conciencia-24-7/sostenibilidad/pinguino-de-humboldt-albino-biobio</t>
  </si>
  <si>
    <t>El pingüino de Humboldt es declarado Monumento Natural y elevan su nivel de protección en Chile</t>
  </si>
  <si>
    <t>Radio Concierto Chile - Sólo grandes canciones</t>
  </si>
  <si>
    <t>https://www.concierto.cl/2026/02/el-pinguino-de-humboldt-es-declarado-monumento-natural-y-elevan-su-nivel-de-proteccion-en-chile/</t>
  </si>
  <si>
    <t>El pingüino de Humboldt es declarado Monumento Natural en Chile</t>
  </si>
  <si>
    <t>Sabes.cl</t>
  </si>
  <si>
    <t>https://sabes.cl/2026/02/14/el-pinguino-de-humboldt-es-declarado-monumento-natural-en-chile/</t>
  </si>
  <si>
    <t>WWF Chile presentó propuestas en el marco de la consulta pública para declarar al pingüino de Humboldt como Monumento Natural</t>
  </si>
  <si>
    <t>Infogate.cl</t>
  </si>
  <si>
    <t>https://infogate.cl/2026/02/wwf-chile-presento-propuestas-en-el-marco-de-la-consulta-publica-para-declarar-al-pinguino-de-humboldt-como-monumento-natural/</t>
  </si>
  <si>
    <t>Para aumentar su protección: El Pingüino de Humboldt es declarado Monumento Nacional en Chile</t>
  </si>
  <si>
    <t>pudahuel.cl</t>
  </si>
  <si>
    <t>https://www.pudahuel.cl/noticias/2026/02/para-aumentar-su-proteccion-el-pinguino-de-humboldt-es-declarado-monumento-nacional-en-chile/</t>
  </si>
  <si>
    <t>Ataque y muerte de pingüino de Humboldt reabre urgente llamado a la tenencia responsable y protección de fauna silvestre</t>
  </si>
  <si>
    <t>El Diario de Antofagasta</t>
  </si>
  <si>
    <t>https://www.diarioantofagasta.cl/el-pais/218188/ataque-y-muerte-de-pinguino-de-humboldt-reabre-urgente-llamado-a-la-tenencia-responsable-y-proteccion-de-fauna-silvestre/</t>
  </si>
  <si>
    <t>“Andaba solo en el agua”: Investigación registró primer hallazgo de pingüino de Humboldt albino en el Biobío</t>
  </si>
  <si>
    <t>https://www.theclinic.cl/2026/01/22/andaba-solo-en-el-agua-investigacion-registro-primer-hallazgo-de-pinguino-de-humboldt-albino-en-el-biobio/</t>
  </si>
  <si>
    <t>Pingüino de Humboldt es declarado monumento natural para reforzar su protección en Chile</t>
  </si>
  <si>
    <t>VLN Radio</t>
  </si>
  <si>
    <t>https://www.vlnradio.cl/noticias/actualidad/2026/02/15/pinguino-de-humboldt-es-declarado-monumento-natural-para-reforzar-su-proteccion-en-chile/</t>
  </si>
  <si>
    <t>Chile declara oficialmente al Pingüino de Humboldt «en peligro de extinción»</t>
  </si>
  <si>
    <t>Radio Ñuble</t>
  </si>
  <si>
    <t>https://radionuble.cl/v1/2025/10/23/chile-declara-oficialmente-al-pinguino-de-humboldt-en-peligro-de-extincion/</t>
  </si>
  <si>
    <t>Gobierno chileno le quita la protección al Pingüino de Humboldt</t>
  </si>
  <si>
    <t>Mestizos Magazine</t>
  </si>
  <si>
    <t>https://www.mestizos.cl/actualidad-animal/2026/03/18/gobierno-chileno-le-quita-la-proteccion-al-pinguino-de-humboldt.html</t>
  </si>
  <si>
    <t>Declaran monumento natural al pingüino de Humboldt en todo Chile</t>
  </si>
  <si>
    <t>Puranoticia</t>
  </si>
  <si>
    <t>https://puranoticia.pnt.cl/nacional/declaran-monumento-natural-al-pinguino-de-humboldt-en-todo-chile</t>
  </si>
  <si>
    <t>El pingüino de Humboldt, declarado monumento natural por Chile</t>
  </si>
  <si>
    <t>ANSA Latina</t>
  </si>
  <si>
    <t>https://www.ansalatina.com/americalatina/noticia/latinoamerica/2026/02/13/el-pingueino-de-humboldt-declarado-monumento-natural-por-chile_be13193f-0864-424f-855b-bc1b51c5ef3c.html</t>
  </si>
  <si>
    <t>Chile declara oficialmente al Pingüino de Humboldt "en peligro de extinción"</t>
  </si>
  <si>
    <t>Radio Contacto 90.7 FM</t>
  </si>
  <si>
    <t>https://radiocontacto.cl/2025/10/23/chile-declara-oficialmente-al-pinguino-de-humboldt-en-peligro-de-extincion/</t>
  </si>
  <si>
    <t>Un pingüino de Chile perdió más del 50% de su población</t>
  </si>
  <si>
    <t>eldiarioweb.com</t>
  </si>
  <si>
    <t>https://www.eldiarioweb.com/2025/10/un-pinguino-de-chile-perdio-mas-del-50-de-su-poblacion/</t>
  </si>
  <si>
    <t>Chile declara Monumento Natural al pingüino de Humboldt tras caída del 50% de su población</t>
  </si>
  <si>
    <t>Publimicro</t>
  </si>
  <si>
    <t>https://publimicro.cl/chile-declara-monumento-natural-al-pinguino-de-humboldt-tras-caida-del-50-de-su-poblacion/</t>
  </si>
  <si>
    <t>Pingüino de Humboldt pasa a “en peligro”: especie icónica que habita en la Región de Antofagasta enfrenta drástica disminución</t>
  </si>
  <si>
    <t>https://www.soychile.cl/antofagasta/sociedad/2025/10/24/926196/region-antofagasta-especie-iconica.html</t>
  </si>
  <si>
    <t>Pingüino de Humboldt es declarado Monumento Natural y refuerzan su protección en todo Chile</t>
  </si>
  <si>
    <t>https://www.adnradio.cl/2026/02/15/pinguino-de-humboldt-es-declarado-monumento-natural-y-refuerzan-su-proteccion-en-todo-chile/</t>
  </si>
  <si>
    <t>El pequeño gran emperador de la corriente: Pingüino de Humboldt ya es Monumento Natural en Chile</t>
  </si>
  <si>
    <t>https://www.meteored.cl/noticias/actualidad/el-pequeno-gran-emperador-de-la-corriente-pinguino-de-humboldt-ya-es-monumento-natural-en-chile.html</t>
  </si>
  <si>
    <t>Endémica</t>
  </si>
  <si>
    <t>Sí</t>
  </si>
  <si>
    <t>No</t>
  </si>
  <si>
    <t>Etiquetas de fila</t>
  </si>
  <si>
    <t>Total general</t>
  </si>
  <si>
    <t>Cuenta de Especie ID</t>
  </si>
  <si>
    <t>Suma de Es protagonsita</t>
  </si>
  <si>
    <t>(Varios elementos)</t>
  </si>
  <si>
    <t>Nombre corto</t>
  </si>
  <si>
    <t>Etiqueta</t>
  </si>
  <si>
    <t>17 - caracol de Paposo</t>
  </si>
  <si>
    <t>214 - huemul</t>
  </si>
  <si>
    <t>215 - ranita de Darwin</t>
  </si>
  <si>
    <t>216 - pingüino de Humboldt</t>
  </si>
  <si>
    <t>25 - picaflor de Arica</t>
  </si>
  <si>
    <t>45 - lagarto gruñidor de Álvaro</t>
  </si>
  <si>
    <t xml:space="preserve">49 - ranita </t>
  </si>
  <si>
    <t>50 - borrachito</t>
  </si>
  <si>
    <t>51 - picaflor de Juan Fernández</t>
  </si>
  <si>
    <t>Cuenta de Tiene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</si>
</sst>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name val="CG Times (W1)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5">
    <xf numFmtId="0" fontId="0" fillId="0" borderId="0" xfId="0"/>
    <xf numFmtId="0" fontId="2" fillId="0" borderId="0" xfId="0" applyFont="1"/>
    <xf numFmtId="0" fontId="0" fillId="0" borderId="1" xfId="0" applyBorder="1"/>
    <xf numFmtId="0" fontId="1" fillId="0" borderId="1" xfId="1" applyBorder="1"/>
    <xf numFmtId="0" fontId="1" fillId="0" borderId="1" xfId="1" applyFill="1" applyBorder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2" applyFont="1" applyAlignment="1" applyProtection="1">
      <alignment vertical="top" wrapText="1"/>
      <protection locked="0"/>
    </xf>
    <xf numFmtId="0" fontId="5" fillId="0" borderId="0" xfId="2" applyFont="1" applyAlignment="1" applyProtection="1">
      <alignment vertical="top" wrapText="1"/>
      <protection locked="0"/>
    </xf>
    <xf numFmtId="0" fontId="4" fillId="0" borderId="0" xfId="2" applyFont="1" applyAlignment="1">
      <alignment vertical="top" wrapText="1"/>
    </xf>
    <xf numFmtId="0" fontId="5" fillId="0" borderId="0" xfId="2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Hipervínculo" xfId="1" builtinId="8"/>
    <cellStyle name="Normal" xfId="0" builtinId="0"/>
    <cellStyle name="Normal 3" xfId="2" xr:uid="{1FC30287-32D9-4254-B781-4CC751E1E8CF}"/>
  </cellStyles>
  <dxfs count="4">
    <dxf>
      <numFmt numFmtId="0" formatCode="General"/>
    </dxf>
    <dxf>
      <numFmt numFmtId="0" formatCode="General"/>
    </dxf>
    <dxf>
      <numFmt numFmtId="0" formatCode="General"/>
    </dxf>
    <dxf>
      <font>
        <i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olina Olave" refreshedDate="46152.682215856483" createdVersion="8" refreshedVersion="8" minRefreshableVersion="3" recordCount="351" xr:uid="{F0ADECC2-4612-42C9-8247-07A722295A25}">
  <cacheSource type="worksheet">
    <worksheetSource name="Tabla24"/>
  </cacheSource>
  <cacheFields count="17">
    <cacheField name="Especie ID" numFmtId="0">
      <sharedItems containsSemiMixedTypes="0" containsString="0" containsNumber="1" containsInteger="1" minValue="1" maxValue="216" count="21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</sharedItems>
    </cacheField>
    <cacheField name="Etiqueta" numFmtId="0">
      <sharedItems count="216">
        <s v="1 - Araña (genérico)"/>
        <s v="2 - pancora"/>
        <s v="3 - piñacha"/>
        <s v="4 - sapo de pecho espinoso de Potrero"/>
        <s v="5 - rana de pecho espinoso de Oncol"/>
        <s v="6 - sapo de pecho espinoso de Malleco"/>
        <s v="7 - caracol"/>
        <s v="8 - seudoescorpión"/>
        <s v="9 - rayadito de Más Afuera"/>
        <s v="10 - caracol de agua dulce"/>
        <s v="11 - escorpión de Philippi"/>
        <s v="12 - sierra del Orocoipo"/>
        <s v="13 - cascarudo híbrido o cascarudo del Poqui"/>
        <s v="14 - seudoescorpión"/>
        <s v="15 - caracol de concha piramidal"/>
        <s v="16 - cantárida"/>
        <s v="17 - caracol de Paposo"/>
        <s v="18 - Cnemalobus pegnai"/>
        <s v="19 - balita de Barriga"/>
        <s v="20 - tenebrio de Wilson"/>
        <s v="21 - araña pollito"/>
        <s v="22 - araña pollito"/>
        <s v="23 - araña pollito"/>
        <s v="24 - tarántula enana"/>
        <s v="25 - picaflor de Arica"/>
        <s v="26 - aguilucho de Más Afuera"/>
        <s v="27 - caracol"/>
        <s v="28 - caracol"/>
        <s v="29 - lagartija de Lolol"/>
        <s v="30 - lagarto negro"/>
        <s v="31 - lagartija de Herman Núñez"/>
        <s v="32 - lagartija"/>
        <s v="33 - lagarto leopardo de Norma"/>
        <s v="34 - Nigroperla costalis"/>
        <s v="35 - tenebrio de Peña"/>
        <s v="36 - caracol terrestre Omalonyx"/>
        <s v="37 - pez (genérico)"/>
        <s v="38 - karachi"/>
        <s v="39 - Escama  gigante de palma chilena"/>
        <s v="40 - Paraholopterus nahuelbutensis"/>
        <s v="41 - matuasto de Alicahue"/>
        <s v="42 - matuasto del Laja"/>
        <s v="43 - caracol costilludo de Hualpén"/>
        <s v="44 - Praocis medvedevi"/>
        <s v="45 - lagarto gruñidor de Álvaro"/>
        <s v="46 - pez (genérico)"/>
        <s v="47 - caracol terrestre Punctum"/>
        <s v="48 - caracol terrestre Punctum"/>
        <s v="49 - ranita "/>
        <s v="50 - borrachito"/>
        <s v="51 - picaflor de Juan Fernández"/>
        <s v="52 - mosco de Juan Fernández"/>
        <s v="53 - caracol terrestre Succinea"/>
        <s v="54 - caracol terrestre Succinea"/>
        <s v="55 - caracol terrestre Succinea"/>
        <s v="56 - caracol terrestre Succinea"/>
        <s v="57 - caracol terrestre Succinea"/>
        <s v="58 - caracol terrestre Succinea"/>
        <s v="59 - caracol terrestre Succinea"/>
        <s v="60 - gorgona amarilla-roja"/>
        <s v="61 - sapo"/>
        <s v="62 - sapo de Danko"/>
        <s v="63 - sapo "/>
        <s v="64 - sapo "/>
        <s v="65 - rana de Vilama"/>
        <s v="66 - caracol terrestre Tornatellina"/>
        <s v="67 - caracol terrestre Tornatellina"/>
        <s v="68 - caracol terrestre Tornatellina"/>
        <s v="69 - caracol terrestre Tornatellina"/>
        <s v="70 - caracol terrestre Tornatellina"/>
        <s v="71 - Acalodegma vidali"/>
        <s v="72 - Pancora"/>
        <s v="73 - Pancora"/>
        <s v="74 - Pancora"/>
        <s v="75 - Pancora"/>
        <s v="76 - Pancora"/>
        <s v="77 - Pancora"/>
        <s v="78 - Mosca florícola de Juan Fernández"/>
        <s v="79 - Sapo de Barros"/>
        <s v="80 - Sapo"/>
        <s v="81 - Sapo de monte"/>
        <s v="82 - Sapo"/>
        <s v="83 - Rana de pecho espinoso de Cordillera Pelada"/>
        <s v="84 - Sapo de Vanzolini"/>
        <s v="85 - Sapo de pecho espinoso de verrugas"/>
        <s v="86 - Típula pintada"/>
        <s v="87 - Liguay"/>
        <s v="88 - Caracol terrestre Amphidoxa"/>
        <s v="89 - Caracol terrestre Amphidoxa"/>
        <s v="90 - Caracol terrestre Amphidoxa"/>
        <s v="91 - Caracol terrestre Amphidoxa"/>
        <s v="92 - Caracol terrestre Amphidoxa"/>
        <s v="93 - Caracol terrestre Amphidoxa"/>
        <s v="94 - Caracol terrestre Amphidoxa"/>
        <s v="95 - Caracol terrestre Amphidoxa"/>
        <s v="96 - Cachudito de Juan Fernández "/>
        <s v="97 - Peladilla"/>
        <s v="98 - Peladilla"/>
        <s v="99 - Mancapollo"/>
        <s v="100 - Fardela blanca"/>
        <s v="101 - Escarabajo"/>
        <s v="102 - Escorpión de Cepeda"/>
        <s v="103 - Bagrecito"/>
        <s v="104 - Cascarudo de Cantillana"/>
        <s v="105 - Cascarudo de Las Docas"/>
        <s v="106 - Cascarudo de Peña"/>
        <s v="107 - Cascarudo de la Plata"/>
        <s v="108 - Caracol terrestre Charopa"/>
        <s v="109 - Caracol terrestre Charopa"/>
        <s v="110 - Pocha"/>
        <s v="111 - Chanchito blanco de la araucaria"/>
        <s v="112 - Chinchilla costina"/>
        <s v="113 - Mamata"/>
        <s v="114 - Cnemalobus hirsutus"/>
        <s v="115 - Cnemalobus nuria"/>
        <s v="116 - Balita"/>
        <s v="117 - Balita"/>
        <s v="118 - Tollo"/>
        <s v="119 - Tollo de agua dulce"/>
        <s v="120 - Tollo "/>
        <s v="121 - Langosta de alas cortas; langosta de Ureta; langosta de Lila; langosta de La Chimba_x000a_"/>
        <s v="122 - Borrachito de Tolhuaca"/>
        <s v="123 - Tarántula afín de Santiago"/>
        <s v="124 - Rana de hojarasca de Oncol"/>
        <s v="125 - Sapo de Contulmo"/>
        <s v="126 - Sapo de Isla Mocha"/>
        <s v="127 - Sapo de Miguel"/>
        <s v="128 - Sapo de Nahuelbuta"/>
        <s v="129 - Ranita de Los Queules"/>
        <s v="130 - Cochinilla de fieltro (genérico)"/>
        <s v="131 - Cernícalo de Juan Fernández"/>
        <s v="132 - Caracol terrestre de Juan Fernández"/>
        <s v="133 - Caracol terrestre de Juan Fernández"/>
        <s v="134 - Caracol terrestre de Juan Fernández"/>
        <s v="135 - Caracol terrestre de Juan Fernández"/>
        <s v="136 - Caracol terrestre de Juan Fernández"/>
        <s v="137 - Caracol terrestre de Juan Fernández"/>
        <s v="138 - Caracol terrestre de Juan Fernández"/>
        <s v="139 - Caracol terrestre de Juan Fernández"/>
        <s v="140 - Caracol terrestre de Juan Fernández"/>
        <s v="141 - Caracol terrestre de Juan Fernández"/>
        <s v="142 - Caracol terrestre de Juan Fernández"/>
        <s v="143 - Caracol terrestre de Juan Fernández"/>
        <s v="144 - Puye"/>
        <s v="145 - Vaquita del desierto de Paposo"/>
        <s v="146 - Caracol"/>
        <s v="147 - No conocido"/>
        <s v="148 - Tarántula enana de penacho amarillo"/>
        <s v="149 - Sapo "/>
        <s v="150 - Mosca colibrí enana"/>
        <s v="151 - Lagartija de Bürger"/>
        <s v="152 - Lagartija de Garín"/>
        <s v="153 - Lagarto de Chillán"/>
        <s v="154 - Lagartija de Fabián"/>
        <s v="155 - Lagartija de Fox"/>
        <s v="156 - Lagartija del Cerro Cantillana"/>
        <s v="157 - Lagartija de Leftraru"/>
        <s v="158 - Lagarto leopardo"/>
        <s v="159 - Lagartija de Manuel"/>
        <s v="160 - Lagartija negro azulada"/>
        <s v="161 - Lagarto de Poconchile"/>
        <s v="162 - Lagarto del escorial"/>
        <s v="163 - Lagartija pintada septentrional"/>
        <s v="164 - Lagarto leopardo de Ubaghs"/>
        <s v="165 - Lagartija"/>
        <s v="166 - Pololo de Paposo"/>
        <s v="167 - Zorro de Chiloé"/>
        <s v="168 - Camarón almeja de Huentelauquén"/>
        <s v="169 - Lamprea de agua dulce"/>
        <s v="170 - Bagre grande"/>
        <s v="171 - No tiene"/>
        <s v="172 - Insecto joya"/>
        <s v="173 - Cucaracho negro"/>
        <s v="174 - Tenebrio de Mannerheim"/>
        <s v="175 - Oogenius castilloi"/>
        <s v="176 - Oogenius penai"/>
        <s v="177 - Karachi"/>
        <s v="178 - Karachi"/>
        <s v="179 - Karachi"/>
        <s v="180 - Karachi"/>
        <s v="181 - Gusano aterciopelado"/>
        <s v="182 - Carmelita"/>
        <s v="183 - Carmelita de Concepción"/>
        <s v="184 - Phyllopetalia altarensis"/>
        <s v="185 - Matuasto de Bibron"/>
        <s v="186 - Matuasto de Darwin"/>
        <s v="187 - Matuasto"/>
        <s v="188 - Caracol de árbol araucano"/>
        <s v="189 - Vaquita"/>
        <s v="190 - Vaquita del bicentenario"/>
        <s v="191 - Gruñidor de Valeria"/>
        <s v="192 - Gruñidor de El Volcán"/>
        <s v="193 - Fardela blanca de Juan Fernández"/>
        <s v="194 - Fardela de Más Afuera"/>
        <s v="195 - Caracol terrestre Ptychodon"/>
        <s v="196 - Caracol terrestre Ptychodon"/>
        <s v="197 - Scotobius planicosta"/>
        <s v="198 - Caracol terrestre Succinea"/>
        <s v="199 - Caracol terrestre Succinea"/>
        <s v="200 - Caracol terrestre Succinea"/>
        <s v="201 - Sapo de Pefaur"/>
        <s v="202 - Sapo de Philippi"/>
        <s v="203 - Sapo de Zapahuira"/>
        <s v="204 - Rana montana de Los Queules"/>
        <s v="205 - Sapo hermoso"/>
        <s v="206 - Caracol terrestre Tornatellina"/>
        <s v="207 - Bagrecito"/>
        <s v="208 - Bagrecito"/>
        <s v="209 - Bagrecito"/>
        <s v="210 - Bagrecito"/>
        <s v="211 - Langosta de Ureta"/>
        <s v="212 - Mosca florícola valdiviana gigante"/>
        <s v="213 - Camarón"/>
        <s v="214 - huemul"/>
        <s v="215 - ranita de Darwin"/>
        <s v="216 - pingüino de Humboldt"/>
      </sharedItems>
    </cacheField>
    <cacheField name="Nombre corto" numFmtId="0">
      <sharedItems/>
    </cacheField>
    <cacheField name="Nombre científico " numFmtId="0">
      <sharedItems count="216">
        <s v="Acanthogonatus hualpen"/>
        <s v="Aegla denticulata"/>
        <s v="Aegla papudo "/>
        <s v="Alsodes laevis"/>
        <s v="Alsodes norae"/>
        <s v="Alsodes vittatus"/>
        <s v="Ambrosiella kuscheli"/>
        <s v="Anaperochernes ambrosianus"/>
        <s v="Aphrastura masafuerae"/>
        <s v="Biomphalaria costata"/>
        <s v="Brachistosternus philippii"/>
        <s v="Callisphyris ficheti"/>
        <s v="Callyntra hibrida"/>
        <s v="Chelanops pugil"/>
        <s v="Chellius piramidalis"/>
        <s v="Chiasognathus jousselini"/>
        <s v="Chilina angusta"/>
        <s v="Cnemalobus pegnai"/>
        <s v="Ectinogonia barrigai"/>
        <s v="Entomochilus wilsoni"/>
        <s v="Euathlus antai"/>
        <s v="Euathlus atacama"/>
        <s v="Euathlus condorito"/>
        <s v="Euathlus parvulus"/>
        <s v="Eulidia yarrellii"/>
        <s v="Geranoaetus polyosoma exsul"/>
        <s v="Heleobia atacamensis"/>
        <s v="Heleobia transitoria"/>
        <s v="Liolaemus confusus"/>
        <s v="Liolaemus curis"/>
        <s v="Liolaemus hermannunezi"/>
        <s v="Liolaemus melaniceps"/>
        <s v="Liolaemus normae"/>
        <s v="Nigroperla costalis"/>
        <s v="Nycterinus penai"/>
        <s v="Omalonyx gayana"/>
        <s v="Orestias gloriae"/>
        <s v="Orestias piacotensis"/>
        <s v="Palmaspis jubae"/>
        <s v="Paraholopterus nahuelbutensis"/>
        <s v="Phymaturus alicahuense"/>
        <s v="Phymaturus vociferator"/>
        <s v="Pichikadi hualpensis"/>
        <s v="Praocis medvedevi"/>
        <s v="Pristidactylus alvaroi"/>
        <s v="Pseudorestias lirimensis"/>
        <s v="Punctum conicum"/>
        <s v="Punctum depressum"/>
        <s v="Rhinoderma rufum"/>
        <s v="Sclerostomulus nitidus"/>
        <s v="Sephanoides fernandensis"/>
        <s v="Sterphus aurifrons"/>
        <s v="Succinea cryptica"/>
        <s v="Succinea cumingi"/>
        <s v="Succinea fernandi"/>
        <s v="Succinea masafuerae"/>
        <s v="Succinea rubicunda"/>
        <s v="Succinea semiglobosa"/>
        <s v="Succinea texta"/>
        <s v="Swiftia comauensis"/>
        <s v="Telmatobius chusmisensis"/>
        <s v="Telmatobius dankoi"/>
        <s v="Telmatobius fronteriensis"/>
        <s v="Telmatobius halli"/>
        <s v="Telmatobius vilamensis"/>
        <s v="Tornatellina aperta"/>
        <s v="Tornatellina bilamellata"/>
        <s v="Tornatellina callosa"/>
        <s v="Tornatellina plicosa"/>
        <s v="Tornatellina reclusiana"/>
        <s v="Acalodegma vidali"/>
        <s v="Aegla bahamondei"/>
        <s v="Aegla concepcionensis"/>
        <s v="Aegla expansa"/>
        <s v="Aegla laevis"/>
        <s v="Aegla occidentalis"/>
        <s v="Aegla papudo"/>
        <s v="Allograpta robinsoniana"/>
        <s v="Alsodes barrioi"/>
        <s v="Alsodes cantillanensis"/>
        <s v="Alsodes montanus"/>
        <s v="Alsodes tumultuosus"/>
        <s v="Alsodes valdiviensis"/>
        <s v="Alsodes vanzolinii"/>
        <s v="Alsodes verrucosus"/>
        <s v="Alyma quiriquinaensis"/>
        <s v="Americobdella valdiviana"/>
        <s v="Amphidoxa arctispira"/>
        <s v="Amphidoxa ceroides"/>
        <s v="Amphidoxa helicophantoides"/>
        <s v="Amphidoxa marmorella"/>
        <s v="Amphidoxa pusio"/>
        <s v="Amphidoxa quadrata"/>
        <s v="Amphidoxa selkirki"/>
        <s v="Amphidoxa tessellata"/>
        <s v="Anairetes fernandezianus"/>
        <s v="Aplochiton marinus"/>
        <s v="Aplochiton zebra"/>
        <s v="Apterodorcus tristis"/>
        <s v="Ardenna creatopus"/>
        <s v="Bolborhinum trilobulicorne"/>
        <s v="Brachistosternus cepedai"/>
        <s v="Bullockia maldonadoi"/>
        <s v="Callyntra cantillana"/>
        <s v="Callyntra multicosta"/>
        <s v="Callyntra penai"/>
        <s v="Callyntra planiuscula"/>
        <s v="Charopa involuta"/>
        <s v="Charopa masafuerae"/>
        <s v="Cheirodon kiliani"/>
        <s v="Chileputo chilensis"/>
        <s v="Chinchilla lanigera"/>
        <s v="Chrysiptera rapanui"/>
        <s v="Cnemalobus hirsutus"/>
        <s v="Cnemalobus nuria"/>
        <s v="Conognatha azarae fisheri"/>
        <s v="Conognatha leechi"/>
        <s v="Diplomystes camposensis"/>
        <s v="Diplomystes chilensis"/>
        <s v="Diplomystes nahuelbutaensis"/>
        <s v="Enodisomacris curtipennis"/>
        <s v="Erichius virgatus"/>
        <s v="Euathlus affinis"/>
        <s v="Eupsophus altor"/>
        <s v="Eupsophus contulmoensis"/>
        <s v="Eupsophus insularis"/>
        <s v="Eupsophus migueli"/>
        <s v="Eupsophus nahuelbutensis"/>
        <s v="Eupsophus septentrionalis"/>
        <s v="Exallococcus laureliae"/>
        <s v="Falco sparverius fernandenzis"/>
        <s v="Fernandezia bulimoides"/>
        <s v="Fernandezia conifera"/>
        <s v="Fernandezia consimilis"/>
        <s v="Fernandezia cylindrella"/>
        <s v="Fernandezia diaphana"/>
        <s v="Fernandezia expansa"/>
        <s v="Fernandezia inornata"/>
        <s v="Fernandezia longa"/>
        <s v="Fernandezia philippiana"/>
        <s v="Fernandezia splendida"/>
        <s v="Fernandezia tryoni"/>
        <s v="Fernandezia wilsoni"/>
        <s v="Galaxias globiceps"/>
        <s v="Gyriosomus angustus"/>
        <s v="Heleobia ascotanensis"/>
        <s v="Henicotherus francisca"/>
        <s v="Homoeomma orellanai"/>
        <s v="Insuetophrynus acarpicus"/>
        <s v="Lasia pulla"/>
        <s v="Liolaemus buergeri"/>
        <s v="Liolaemus carlosgarini"/>
        <s v="Liolaemus chillanensis"/>
        <s v="Liolaemus fabiani"/>
        <s v="Liolaemus foxi"/>
        <s v="Liolaemus frassinettii"/>
        <s v="Liolaemus leftrarui"/>
        <s v="Liolaemus leopardinus"/>
        <s v="Liolaemus manueli"/>
        <s v="Liolaemus nigrocoeruleus"/>
        <s v="Liolaemus poconchilensis"/>
        <s v="Liolaemus scorialis"/>
        <s v="Liolaemus septentrionalis"/>
        <s v="Liolaemus ubaghsi"/>
        <s v="Liolaemus villaricensis"/>
        <s v="Luispenaia paposo"/>
        <s v="Lycalopex fulvipes"/>
        <s v="Lynceus huentelauquensis"/>
        <s v="Mordacia lapicida"/>
        <s v="Nematogenys inermis"/>
        <s v="Neuquenaphis staryi"/>
        <s v="Nycterinus angusticollis"/>
        <s v="Nycterinus borealis"/>
        <s v="Nycterinus mannerheimi"/>
        <s v="Oogenius castilloi"/>
        <s v="Oogenius penai"/>
        <s v="Orestias ascotanensis"/>
        <s v="Orestias chungarensis"/>
        <s v="Orestias laucaensis"/>
        <s v="Orestias parinacotensis"/>
        <s v="Paropisthopatus umbrinus"/>
        <s v="Percilia gillissi"/>
        <s v="Percilia irwini"/>
        <s v="Phyllopetalia altarensis"/>
        <s v="Phymaturus bibronii"/>
        <s v="Phymaturus darwini"/>
        <s v="Phymaturus maulense"/>
        <s v="Plectostylus araucanus"/>
        <s v="Praocis aenea"/>
        <s v="Praocis bicentenario"/>
        <s v="Pristidactylus valeriae"/>
        <s v="Pristidactylus volcanensis"/>
        <s v="Pterodroma externa"/>
        <s v="Pterodroma longirostris"/>
        <s v="Ptychodon oculta"/>
        <s v="Ptychodon skottsberg"/>
        <s v="Scotobius planicosta"/>
        <s v="Succinea fragilis"/>
        <s v="Succinea mamillata"/>
        <s v="Succinea pinguis"/>
        <s v="Telmatobius pefauri"/>
        <s v="Telmatobius philippii"/>
        <s v="Telmatobius zapahuirensis"/>
        <s v="Telmatobufo ignotus"/>
        <s v="Telmatobufo venustus"/>
        <s v="Tornatellina minuta"/>
        <s v="Trichomycterus chiltoni"/>
        <s v="Trichomycterus chungaraensis"/>
        <s v="Trichomycterus laucaensis"/>
        <s v="Trichomycterus rivulatus"/>
        <s v="Uretacris lilai"/>
        <s v="Valdiviomyia gigantea"/>
        <s v="Virilastacus rucapihuelensis"/>
        <s v="Hippocamelus bisulcus"/>
        <s v="Rhinoderma darwinii"/>
        <s v="Spheniscus humboldti"/>
      </sharedItems>
    </cacheField>
    <cacheField name="Nombre común" numFmtId="0">
      <sharedItems containsBlank="1" count="145">
        <s v="Araña (genérico)"/>
        <s v="pancora"/>
        <s v="piñacha, pancora, pancora de Papudo"/>
        <s v="sapo de pecho espinoso de Potrero"/>
        <s v="rana de pecho espinoso de Oncol"/>
        <s v="sapo de pecho espinoso de Malleco"/>
        <s v="caracol"/>
        <s v="seudoescorpión"/>
        <s v="rayadito de Más Afuera"/>
        <s v="caracol de agua dulce"/>
        <s v="escorpión de Philippi"/>
        <s v="sierra del Orocoipo"/>
        <s v="cascarudo híbrido o cascarudo del Poqui"/>
        <s v="caracol de concha piramidal"/>
        <s v="cantárida, ciervo volante peludo"/>
        <s v="caracol de Paposo"/>
        <m/>
        <s v="balita de Barriga, bupréstido de Barriga"/>
        <s v="tenebrio de Wilson, teatino de Wilson"/>
        <s v="araña pollito, tarántula"/>
        <s v="tarántula enana, araña pollito"/>
        <s v="picaflor de Arica, estrellita chilena"/>
        <s v="aguilucho de Más Afuera, aguilucho de Juan Fernández, blindado"/>
        <s v="lagartija de Lolol"/>
        <s v="lagarto negro"/>
        <s v="lagartija de Herman Núñez"/>
        <s v="lagartija"/>
        <s v="lagarto leopardo de Norma, lagarto de los cristales"/>
        <s v="tenebrio de Peña, teatino de Peña"/>
        <s v="caracol terrestre Omalonyx"/>
        <s v="pez (genérico)"/>
        <s v="karachi"/>
        <s v="Escama  gigante de palma chilena"/>
        <s v="matuasto de Alicahue"/>
        <s v="matuasto del Laja, matuasto vociferador"/>
        <s v="caracol costilludo de Hualpén"/>
        <s v="lagarto gruñidor de Álvaro"/>
        <s v="caracol terrestre Punctum"/>
        <s v="ranita "/>
        <s v="borrachito"/>
        <s v="picaflor de Juan Fernández"/>
        <s v="mosco de Juan Fernández, mosco de rostro dorado"/>
        <s v="caracol terrestre Succinea"/>
        <s v="gorgona amarilla-roja"/>
        <s v="sapo"/>
        <s v="sapo de Danko"/>
        <s v="sapo "/>
        <s v="rana de Vilama"/>
        <s v="caracol terrestre Tornatellina"/>
        <s v="Mosca florícola de Juan Fernández"/>
        <s v="Sapo de Barros"/>
        <s v="Sapo de monte"/>
        <s v="Rana de pecho espinoso de Cordillera Pelada"/>
        <s v="Sapo de Vanzolini"/>
        <s v="Sapo de pecho espinoso de verrugas"/>
        <s v="Típula pintada"/>
        <s v="Liguay, sanguijuela gigante valdiviana"/>
        <s v="Caracol terrestre Amphidoxa"/>
        <s v="Cachudito de Juan Fernández "/>
        <s v="Peladilla"/>
        <s v="Mancapollo, pica pollo, borracho, borrachito, buey"/>
        <s v="Fardela blanca"/>
        <s v="Escarabajo"/>
        <s v="Escorpión de Cepeda"/>
        <s v="Bagrecito"/>
        <s v="Cascarudo de Cantillana"/>
        <s v="Cascarudo de Las Docas"/>
        <s v="Cascarudo de Peña"/>
        <s v="Cascarudo de la Plata"/>
        <s v="Caracol terrestre Charopa"/>
        <s v="Pocha"/>
        <s v="Chanchito blanco de la araucaria"/>
        <s v="Chinchilla costina"/>
        <s v="Mamata"/>
        <s v="Balita, insecto joya de Fisher"/>
        <s v="Balita, insecto joya de Leech"/>
        <s v="Tollo"/>
        <s v="Tollo de agua dulce"/>
        <s v="Tollo "/>
        <s v="Langosta de alas cortas; langosta de Ureta; langosta de Lila; langosta de La Chimba_x000a_"/>
        <s v="Borrachito de Tolhuaca, borrachito listado de Tolhuaca"/>
        <s v="Tarántula afín de Santiago"/>
        <s v="Rana de hojarasca de Oncol"/>
        <s v="Sapo de Contulmo"/>
        <s v="Sapo de Isla Mocha"/>
        <s v="Sapo de Miguel"/>
        <s v="Sapo de Nahuelbuta"/>
        <s v="Ranita de Los Queules"/>
        <s v="Cochinilla de fieltro (genérico)"/>
        <s v="Cernícalo de Juan Fernández"/>
        <s v="Caracol terrestre de Juan Fernández"/>
        <s v="Puye"/>
        <s v="Vaquita del desierto de Paposo"/>
        <s v="No conocido"/>
        <s v="Tarántula enana de penacho amarillo, araña pollito"/>
        <s v="Mosca colibrí enana"/>
        <s v="Lagartija de Bürger"/>
        <s v="Lagartija de Garín"/>
        <s v="Lagarto de Chillán"/>
        <s v="Lagartija de Fabián"/>
        <s v="Lagartija de Fox"/>
        <s v="Lagartija del Cerro Cantillana, lagarto de Frassinetti"/>
        <s v="Lagartija de Leftraru, Leftraru’s Lizard (Inglés)"/>
        <s v="Lagarto leopardo"/>
        <s v="Lagartija de Manuel"/>
        <s v="Lagartija negro azulada, Black Bluish Lizard (Inglés)"/>
        <s v="Lagarto de Poconchile"/>
        <s v="Lagarto del escorial, Slag Lizard (Inglés)"/>
        <s v="Lagartija pintada septentrional, Northern Painted Lizard (Inglés)"/>
        <s v="Lagarto leopardo de Ubaghs, Ubaghs’ Leopard Lizard (Inglés)"/>
        <s v="Pololo de Paposo"/>
        <s v="Zorro de Chiloé"/>
        <s v="Camarón almeja de Huentelauquén"/>
        <s v="Lamprea de agua dulce"/>
        <s v="Bagre grande"/>
        <s v="No tiene, se propone &quot;pulgón del Ruíl&quot;"/>
        <s v="Insecto joya"/>
        <s v="Cucaracho negro"/>
        <s v="Tenebrio de Mannerheim, teatino de Mannerheim"/>
        <s v="Karachi, orestias"/>
        <s v="Gusano aterciopelado, onicóforo (genérico)"/>
        <s v="Carmelita"/>
        <s v="Carmelita de Concepción"/>
        <s v="Matuasto de Bibron"/>
        <s v="Matuasto de Darwin, lagarto de cola gruesa"/>
        <s v="Matuasto"/>
        <s v="Caracol de árbol araucano, caracol de árbol"/>
        <s v="Vaquita"/>
        <s v="Vaquita del bicentenario"/>
        <s v="Gruñidor de Valeria"/>
        <s v="Gruñidor de El Volcán"/>
        <s v="Fardela blanca de Juan Fernández, petrel de Juan Fernández"/>
        <s v="Fardela de Más Afuera"/>
        <s v="Caracol terrestre Ptychodon"/>
        <s v="Sapo de Pefaur"/>
        <s v="Sapo de Philippi"/>
        <s v="Sapo de Zapahuira"/>
        <s v="Rana montana de Los Queules"/>
        <s v="Sapo hermoso"/>
        <s v="Langosta de Ureta, langosta de Lila, langosta de La Chimba"/>
        <s v="Mosca florícola valdiviana gigante"/>
        <s v="Camarón"/>
        <s v="huemul, taruca, wümul, güemul, shoan, shoen, trula, hueque, ciervo sur andino"/>
        <s v="ranita de Darwin"/>
        <s v="pingüino de Humboldt, pingüino, pájaro niño, patranka, Humboldt Penguin (inglés), Peruvian penguin (inglés)"/>
      </sharedItems>
    </cacheField>
    <cacheField name="Clase" numFmtId="0">
      <sharedItems/>
    </cacheField>
    <cacheField name="RCE" numFmtId="0">
      <sharedItems count="4">
        <s v="CR"/>
        <s v="EN"/>
        <s v="EN-RARA"/>
        <s v="EN "/>
      </sharedItems>
    </cacheField>
    <cacheField name="Titular" numFmtId="0">
      <sharedItems containsBlank="1" count="107">
        <s v="Sin datos"/>
        <s v="Pingüino de Humboldt y especies únicas de Chile en peligro: más del 70% está en riesgo de extinción"/>
        <s v="Pingüino de Humboldt y especies endémicas en Chile aumentan riesgo de extinción"/>
        <s v="Especies en riesgo: pingüino de Humboldt, lagarto de Álvaro y plantas de Juan Fernández en alerta"/>
        <s v="Pingüino de Humboldt y lagarto gruñidor en peligro"/>
        <s v="Picaflor de Arica en peligro crítico: estudio alerta impacto de la agricultura intensiva"/>
        <s v="Estudio advierte pérdida de hábitat del picaflor de Arica por expansión agrícola"/>
        <s v="Picaflor de Arica pierde terreno: Estudio alerta impacto de monocultivos en Azapa, ¿qué hacer?"/>
        <s v="Crean microreserva de más de 15 hectáreas para proteger a picaflor de Arica, especie que está peligro crítico de extinción"/>
        <s v="Alertan pérdida de hábitat del picaflor de Arica por expansión de monocultivos en valles del norte"/>
        <s v="Picaflor de Arica en peligro: Monocultivos amenazan su hábitat"/>
        <s v="Solo quedan 400: Crean microreserva de más de 15 hectáreas para proteger al picaflor de Arica"/>
        <s v="Estudio advierte cómo el picaflor de Arica está perdiendo su hábitat debido a los monocultivos"/>
        <s v="Chile declara oficialmente en peligro de extinción a Pingüino de Humboldt"/>
        <s v="El pingüino de Humboldt pasa a estar en peligro de extinción y enciende las alarmas por la biodiversidad en Chile"/>
        <s v="Equipo UM logró que el “Lagarto gruñidor de Álvaro” sea considerado “en peligro crítico de extinción”"/>
        <s v="Ministra Rojas expone dramático estado del pingüino de Humboldt, lagarto gruñidor y otras 70 especies"/>
        <s v="Declaran al Lagarto gruñidor de Álvaro, especie endémica chilena, en «Peligro Crítico de Extinción"/>
        <s v="Gobierno retira más de 40 decretos ambientales: Entre ellos la protección a Ranita de Darwin y Pingüino de Humboldt"/>
        <s v="La ranita descubierta por Charles Darwin en Chile busca salvarse de la extinción"/>
        <s v="Hongo letal amenaza la supervivencia de la ranita de Darwin"/>
        <s v="Dilucidan cómo una enfermedad está extinguiendo a la ranita de Darwin: ya mató a su especie hermana"/>
        <s v="Científico chileno lidera estudio clave sobre la extinción de la ranita de Darwin"/>
        <s v="Alianza internacional en Huilo Huilo busca proteger a la Ranita de Darwin de hongo letal"/>
        <s v="Guardabosques chilenos y Zoólogico de Londres buscan salvar a la ranita de Darwin de la extinción"/>
        <s v="Científico chileno lidera estudio que revela cómo un hongo letal está extinguiendo a la ranita de Darwin"/>
        <s v="Investigación chilena descubre cómo un hongo invasivo provoca epidemias letales en anfibios terrestres"/>
        <s v="Retiran decreto que protegía al pingüino de Humboldt"/>
        <s v="Contra ranita de Darwin, pingüino de Humboldt y áreas protegidas: Kast defiende retiro de 43 decretos medioambientales"/>
        <s v="Contraloría aprueba plan para proteger a las Ranitas de Darwin tras revisión del Gobierno"/>
        <s v="Revelan cómo el hongo quítrido se propaga y empuja a la ranita de Darwin a la extinción en Chile"/>
        <s v="1000 genomas: el proyecto que busca construir el inventario más completo de la biodiversidad de Chile"/>
        <s v="Chile levanta el mayor registro genético de su biodiversidad"/>
        <m/>
        <s v="El pingüino de Humboldt es declarado Monumento Natural de Chile"/>
        <s v="Dispersión forzada y ausencia de planificación metapoblacional en la conservación del huemul"/>
        <s v="Senda del Huemul 2026 refuerza compromiso por la conservación en Parque Cerro Castillo"/>
        <s v="Inaugura primer centro de rescate del huemul del sur para proteger al ciervo más austral del mundo"/>
        <s v="Desarrollo productivo y protección del huemul marcan cierre de programas FIC en la Reserva de la Biósfera"/>
        <s v="Oceana: Los pingüinos de Humboldt &quot;están en peligro&quot;, no tienen el mismo tiempo que los gobiernos"/>
        <s v="¿Sin protección?: Ranita de Darwin y Pingüino de Humboldt, las dos especies icónicas de Chile en medio del debate ambiental"/>
        <s v="Protección del pingüino de Humboldt y descontaminación del lago Villarrica: las razones del Ejecutivo para retirar 43 decretos ambientales"/>
        <s v="Gobierno retira más de 40 decretos ambientales que creaban parques nacionales y otorgaban protección a la ranita de Darwin y el pingüino de Humboldt"/>
        <s v="Pingüino de Humboldt y ranita de Darwin: Revisa el estado actual de los 43 decretos ambientales retirados por Kast"/>
        <s v="Debate ambiental en Chile: Ranita de Darwin y Pingüino de Humboldt en riesgo"/>
        <s v="“Desde hoy en adelante no usaré desodorante, sólo Tanax”: insecticida se vuelve viral por crítica a retiro de decreto que protegía a Pingüino de Humboldt y Ranita de Darwin"/>
        <s v="Ranita de Darwin: La increíble historia de su viaje a Londres para salvarlas de la extinción"/>
        <s v="Descubren nueva población de ranita de Darwin en zona amenazada por construcción de carretera eléctrica en Chiloé"/>
        <s v="Alianza en la Reserva Biológica Huilo Huilo busca proteger a la ranita de Darwin de la extinción"/>
        <s v="Descubren nueva población de Ranita de Darwin en Villarrica"/>
        <s v="Chile: Gobierno frena protección del pingüino de Humboldt"/>
        <s v="Consejo de Ministros declara al pingüino de Humboldt como Monumento Natural para aumentar su protección"/>
        <s v="Bucea como un profesional, pero tiene el corazón frágil: los 4 datos sobre el pingüino de Humboldt"/>
        <s v="Pingüino de Humboldt en peligro de extinción: el 80% de la población mundial de esta especie habita en Chile."/>
        <s v="Chile inicia proceso para declarar Monumento Natural al pingüino de Humboldt"/>
        <s v="Reactivan permiso ambiental de Dominga mientras crece incertidumbre por protección del pingüino de Humboldt"/>
        <s v="Declaran al pingüino de Humboldt como Monumento Natural de especie en todo Chile"/>
        <s v="Pingüino de Humboldt ya es Monumento Natural en Chile"/>
        <s v="Especialistas UdeC analizan impacto ambiental que pone en riesgo al pingüino de Humboldt"/>
        <s v="Uno de los últimos refugios del Pingüino de Humboldt que debes visitar el 2026"/>
        <s v="Experto advierte qué pasaría si se extingue el pingüino de Humboldt: &quot;Sería un tremendo impacto&quot;"/>
        <s v="Pingüino de Humboldt pasa a “en peligro” en Chile y alerta a especialistas"/>
        <s v="¡Últimos días! El pingüino de Humboldt necesita tu ayuda: Así puedes apoyar su declaratoria como Monumento Natural de Chile"/>
        <s v="Declaran al pingüino de Humboldt como Monumento Natural: ¿qué implica esta categoría?"/>
        <s v="Experto y retiro de decreto que protegía al pingüino de Humboldt: &quot;argumentos eran bastante sólidos&quot;"/>
        <s v="Pingüino de Humboldt: El llamado a proteger a esta especie en peligro de conservación"/>
        <s v="Chile declara al pingüino de Humboldt Monumento Natural y refuerza su protección en todo el país"/>
        <s v="Chile declara oficialmente al pingüino de Humboldt en peligro de extinción: ¿se puede recuperar?"/>
        <s v="Registran por primera vez un pingüino de Humboldt albino en Chile: &quot;Queda más expuesto a depredadores&quot;"/>
        <s v="Últimos días para apoyar: el pingüino de Humboldt necesita tu ayuda para ser Monumento Natural de Chile"/>
        <s v="Pingüino de Humboldt es declarado Monumento Natural en Chile"/>
        <s v="Chile abre consulta ciudadana para declarar Monumento Natural al pingüino de Humboldt: Cómo participar"/>
        <s v="Pingüino de Humboldt es declarado Monumento Natural en Chile: ¿qué significa?"/>
        <s v="Pingüino de Humboldt En Peligro: “La nueva clasificación muestra que debemos tomar acciones para cuidar la corriente de Humboldt”"/>
        <s v="Expertos alertan grave disminución del pingüino de Humboldt en Chile: quedan menos de 20 mil ejemplares"/>
        <s v="Investigación registró primer hallazgo de pingüino de Humboldt albino en la Región del Biobío"/>
        <s v="Retiran decreto que buscaba declarar Monumento Natural al pingüino de Humboldt"/>
        <s v="Tras retiro de decretos: ¿cuál es la importancia del Pingüino de Humboldt en el equilibrio del océano?"/>
        <s v="El Pingüino de Humboldt: Más que un símbolo, una urgencia de conservación. Por Carlos Flores Olivares. Docente Investigador de Medicina Veterinaria, Universidad del Alba"/>
        <s v="Estas son las mejores partes de Chile donde se puede ver al pingüino de Humboldt"/>
        <s v="Chile abre consulta ciudadana para declarar al pingüino de Humboldt Monumento Natural"/>
        <s v="Últimos días para salvar al pingüino de Humboldt en Chile"/>
        <s v="Pingüino de Humboldt albino es visto frente a la costa de Hualpén"/>
        <s v="Greenpeace exige medidas urgentes para salvar al pingüino de Humboldt: &quot;No podemos seguir destruyendo&quot;"/>
        <s v="¿Por qué fue declarado el pingüino de Humboldt en peligro de extinción? Alertan sobre crítica situación en Chile y los riesgos de Dominga"/>
        <s v="La Serena será sede del Seminario Pingüino de Humboldt en peligro de extinción"/>
        <s v="¿Pingüino de Humboldt albino en Biobío?: hallazgo inédito abre retos científicos y de conservación"/>
        <s v="Registran por primera vez en Chile un ejemplar de pingüino de Humboldt albino"/>
        <s v="Pingüino de Humboldt en peligro de extinción: la contaminación y el cambio climático lo acorralan"/>
        <s v="Detectan primer pingüino de Humboldt albino en el Biobío"/>
        <s v="El pingüino de Humboldt es declarado Monumento Natural y elevan su nivel de protección en Chile"/>
        <s v="El pingüino de Humboldt es declarado Monumento Natural en Chile"/>
        <s v="WWF Chile presentó propuestas en el marco de la consulta pública para declarar al pingüino de Humboldt como Monumento Natural"/>
        <s v="Para aumentar su protección: El Pingüino de Humboldt es declarado Monumento Nacional en Chile"/>
        <s v="Ataque y muerte de pingüino de Humboldt reabre urgente llamado a la tenencia responsable y protección de fauna silvestre"/>
        <s v="“Andaba solo en el agua”: Investigación registró primer hallazgo de pingüino de Humboldt albino en el Biobío"/>
        <s v="Pingüino de Humboldt es declarado monumento natural para reforzar su protección en Chile"/>
        <s v="Chile declara oficialmente al Pingüino de Humboldt «en peligro de extinción»"/>
        <s v="Gobierno chileno le quita la protección al Pingüino de Humboldt"/>
        <s v="Declaran monumento natural al pingüino de Humboldt en todo Chile"/>
        <s v="El pingüino de Humboldt, declarado monumento natural por Chile"/>
        <s v="Chile declara oficialmente al Pingüino de Humboldt &quot;en peligro de extinción&quot;"/>
        <s v="Un pingüino de Chile perdió más del 50% de su población"/>
        <s v="Chile declara Monumento Natural al pingüino de Humboldt tras caída del 50% de su población"/>
        <s v="Pingüino de Humboldt pasa a “en peligro”: especie icónica que habita en la Región de Antofagasta enfrenta drástica disminución"/>
        <s v="Pingüino de Humboldt es declarado Monumento Natural y refuerzan su protección en todo Chile"/>
        <s v="El pequeño gran emperador de la corriente: Pingüino de Humboldt ya es Monumento Natural en Chile"/>
      </sharedItems>
    </cacheField>
    <cacheField name="Fuente" numFmtId="0">
      <sharedItems containsBlank="1"/>
    </cacheField>
    <cacheField name="Link" numFmtId="0">
      <sharedItems containsBlank="1"/>
    </cacheField>
    <cacheField name="Usa N. Científico" numFmtId="0">
      <sharedItems containsBlank="1" containsMixedTypes="1" containsNumber="1" containsInteger="1" minValue="0" maxValue="1"/>
    </cacheField>
    <cacheField name="Usa N. Común" numFmtId="0">
      <sharedItems containsBlank="1" containsMixedTypes="1" containsNumber="1" containsInteger="1" minValue="1" maxValue="1"/>
    </cacheField>
    <cacheField name="Alcance" numFmtId="0">
      <sharedItems containsBlank="1"/>
    </cacheField>
    <cacheField name="Es protagonsita" numFmtId="0">
      <sharedItems containsBlank="1" containsMixedTypes="1" containsNumber="1" containsInteger="1" minValue="0" maxValue="1"/>
    </cacheField>
    <cacheField name="Tono predominante" numFmtId="0">
      <sharedItems containsBlank="1"/>
    </cacheField>
    <cacheField name="Tiene foto" numFmtId="0">
      <sharedItems containsBlank="1" containsMixedTypes="1" containsNumber="1" containsInteger="1" minValue="0" maxValue="1"/>
    </cacheField>
    <cacheField name="Endém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1">
  <r>
    <x v="0"/>
    <x v="0"/>
    <s v="Araña (genérico)"/>
    <x v="0"/>
    <x v="0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1"/>
    <x v="1"/>
    <s v="pancora"/>
    <x v="1"/>
    <x v="1"/>
    <s v="Malacostraca"/>
    <x v="0"/>
    <x v="0"/>
    <s v="Sin datos"/>
    <s v="Sin datos"/>
    <s v="Sin datos"/>
    <s v="Sin datos"/>
    <s v="Sin datos"/>
    <s v="Sin datos"/>
    <s v="Sin datos"/>
    <s v="Sin datos"/>
    <s v="Sí"/>
  </r>
  <r>
    <x v="2"/>
    <x v="2"/>
    <s v="piñacha"/>
    <x v="2"/>
    <x v="2"/>
    <s v="Malacostraca"/>
    <x v="0"/>
    <x v="0"/>
    <s v="Sin datos"/>
    <s v="Sin datos"/>
    <s v="Sin datos"/>
    <s v="Sin datos"/>
    <s v="Sin datos"/>
    <s v="Sin datos"/>
    <s v="Sin datos"/>
    <s v="Sin datos"/>
    <s v="Sí"/>
  </r>
  <r>
    <x v="3"/>
    <x v="3"/>
    <s v="sapo de pecho espinoso de Potrero"/>
    <x v="3"/>
    <x v="3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4"/>
    <x v="4"/>
    <s v="rana de pecho espinoso de Oncol"/>
    <x v="4"/>
    <x v="4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5"/>
    <x v="5"/>
    <s v="sapo de pecho espinoso de Malleco"/>
    <x v="5"/>
    <x v="5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6"/>
    <x v="6"/>
    <s v="caracol"/>
    <x v="6"/>
    <x v="6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7"/>
    <x v="7"/>
    <s v="seudoescorpión"/>
    <x v="7"/>
    <x v="7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8"/>
    <x v="8"/>
    <s v="rayadito de Más Afuera"/>
    <x v="8"/>
    <x v="8"/>
    <s v="Aves"/>
    <x v="0"/>
    <x v="0"/>
    <s v="Sin datos"/>
    <s v="Sin datos"/>
    <s v="Sin datos"/>
    <s v="Sin datos"/>
    <s v="Sin datos"/>
    <s v="Sin datos"/>
    <s v="Sin datos"/>
    <s v="Sin datos"/>
    <s v="Sí"/>
  </r>
  <r>
    <x v="9"/>
    <x v="9"/>
    <s v="caracol de agua dulce"/>
    <x v="9"/>
    <x v="9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10"/>
    <x v="10"/>
    <s v="escorpión de Philippi"/>
    <x v="10"/>
    <x v="10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11"/>
    <x v="11"/>
    <s v="sierra del Orocoipo"/>
    <x v="11"/>
    <x v="11"/>
    <s v="Insecta"/>
    <x v="0"/>
    <x v="0"/>
    <s v="Sin datos"/>
    <s v="Sin datos"/>
    <s v="Sin datos"/>
    <s v="Sin datos"/>
    <s v="Sin datos"/>
    <s v="Sin datos"/>
    <s v="Sin datos"/>
    <s v="Sin datos"/>
    <s v="Sí"/>
  </r>
  <r>
    <x v="12"/>
    <x v="12"/>
    <s v="cascarudo híbrido o cascarudo del Poqui"/>
    <x v="12"/>
    <x v="12"/>
    <s v="Insecta"/>
    <x v="0"/>
    <x v="0"/>
    <s v="Sin datos"/>
    <s v="Sin datos"/>
    <s v="Sin datos"/>
    <s v="Sin datos"/>
    <s v="Sin datos"/>
    <s v="Sin datos"/>
    <s v="Sin datos"/>
    <s v="Sin datos"/>
    <s v="Sí"/>
  </r>
  <r>
    <x v="13"/>
    <x v="13"/>
    <s v="seudoescorpión"/>
    <x v="13"/>
    <x v="7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14"/>
    <x v="14"/>
    <s v="caracol de concha piramidal"/>
    <x v="14"/>
    <x v="13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15"/>
    <x v="15"/>
    <s v="cantárida"/>
    <x v="15"/>
    <x v="14"/>
    <s v="Insecta"/>
    <x v="0"/>
    <x v="0"/>
    <s v="Sin datos"/>
    <s v="Sin datos"/>
    <s v="Sin datos"/>
    <s v="Sin datos"/>
    <s v="Sin datos"/>
    <s v="Sin datos"/>
    <s v="Sin datos"/>
    <s v="Sin datos"/>
    <s v="Sí"/>
  </r>
  <r>
    <x v="16"/>
    <x v="16"/>
    <s v="caracol de Paposo"/>
    <x v="16"/>
    <x v="15"/>
    <s v="Gasotropoda"/>
    <x v="0"/>
    <x v="1"/>
    <s v="Meteored Chile"/>
    <s v="https://www.meteored.cl/noticias/ciencia/pinguino-de-humboldt-y-especies-unicas-de-chile-en-peligro-mas-del-70-esta-en-riesgo-de-extincion.html"/>
    <n v="1"/>
    <n v="1"/>
    <s v="Nacional"/>
    <n v="1"/>
    <s v="Alarma/Crisis"/>
    <m/>
    <s v="Sí"/>
  </r>
  <r>
    <x v="16"/>
    <x v="16"/>
    <s v="caracol de Paposo"/>
    <x v="16"/>
    <x v="15"/>
    <s v="Gasotropoda"/>
    <x v="0"/>
    <x v="2"/>
    <s v="Cooperativa Ciencia"/>
    <s v="https://www.cooperativaciencia.cl/medio-ambiente/2025/10/20/pinguino-de-humboldt-y-especies-endemicas-en-chile-aumentan-riesgo-de-extincion/"/>
    <n v="0"/>
    <n v="1"/>
    <s v="Nacional"/>
    <n v="0"/>
    <s v="Alarma / Crisis"/>
    <n v="1"/>
    <s v="Sí"/>
  </r>
  <r>
    <x v="16"/>
    <x v="16"/>
    <s v="caracol de Paposo"/>
    <x v="16"/>
    <x v="15"/>
    <s v="Gasotropoda"/>
    <x v="0"/>
    <x v="3"/>
    <s v="El Mostrador"/>
    <s v="https://www.elmostrador.cl/agenda-pais/agenda-sustentable/2025/10/28/especies-en-riesgo-pinguino-de-humboldt-lagarto-de-alvaro-y-plantas-de-juan-fernandez-en-alerta/"/>
    <n v="1"/>
    <n v="1"/>
    <s v="Nacional"/>
    <n v="0"/>
    <s v="Alarma / Crisis"/>
    <n v="0"/>
    <s v="Sí"/>
  </r>
  <r>
    <x v="16"/>
    <x v="16"/>
    <s v="caracol de Paposo"/>
    <x v="16"/>
    <x v="15"/>
    <s v="Gasotropoda"/>
    <x v="0"/>
    <x v="4"/>
    <s v="Diario Sustentable"/>
    <s v="https://www.diariosustentable.com/2025/10/pinguino-de-humboldt-lagarto-grunidor-y-plantas-endemicas-de-juan-fernandez-aumentan-su-riesgo-de-extincion-en-chile/"/>
    <n v="1"/>
    <n v="1"/>
    <s v="Nacional"/>
    <n v="0"/>
    <s v="Alarma / Crisis"/>
    <n v="1"/>
    <s v="Sí"/>
  </r>
  <r>
    <x v="17"/>
    <x v="17"/>
    <s v="Cnemalobus pegnai"/>
    <x v="17"/>
    <x v="16"/>
    <s v="Insecta"/>
    <x v="0"/>
    <x v="0"/>
    <s v="Sin datos"/>
    <s v="Sin datos"/>
    <s v="Sin datos"/>
    <s v="Sin datos"/>
    <s v="Sin datos"/>
    <s v="Sin datos"/>
    <s v="Sin datos"/>
    <s v="Sin datos"/>
    <s v="Sí"/>
  </r>
  <r>
    <x v="18"/>
    <x v="18"/>
    <s v="balita de Barriga"/>
    <x v="18"/>
    <x v="17"/>
    <s v="Insecta"/>
    <x v="0"/>
    <x v="0"/>
    <s v="Sin datos"/>
    <s v="Sin datos"/>
    <s v="Sin datos"/>
    <s v="Sin datos"/>
    <s v="Sin datos"/>
    <s v="Sin datos"/>
    <s v="Sin datos"/>
    <s v="Sin datos"/>
    <s v="Sí"/>
  </r>
  <r>
    <x v="19"/>
    <x v="19"/>
    <s v="tenebrio de Wilson"/>
    <x v="19"/>
    <x v="18"/>
    <s v="Insecta"/>
    <x v="0"/>
    <x v="0"/>
    <s v="Sin datos"/>
    <s v="Sin datos"/>
    <s v="Sin datos"/>
    <s v="Sin datos"/>
    <s v="Sin datos"/>
    <s v="Sin datos"/>
    <s v="Sin datos"/>
    <s v="Sin datos"/>
    <s v="Sí"/>
  </r>
  <r>
    <x v="20"/>
    <x v="20"/>
    <s v="araña pollito"/>
    <x v="20"/>
    <x v="19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21"/>
    <x v="21"/>
    <s v="araña pollito"/>
    <x v="21"/>
    <x v="19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22"/>
    <x v="22"/>
    <s v="araña pollito"/>
    <x v="22"/>
    <x v="19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23"/>
    <x v="23"/>
    <s v="tarántula enana"/>
    <x v="23"/>
    <x v="20"/>
    <s v="Arachnida"/>
    <x v="0"/>
    <x v="0"/>
    <s v="Sin datos"/>
    <s v="Sin datos"/>
    <s v="Sin datos"/>
    <s v="Sin datos"/>
    <s v="Sin datos"/>
    <s v="Sin datos"/>
    <s v="Sin datos"/>
    <s v="Sin datos"/>
    <s v="Sí"/>
  </r>
  <r>
    <x v="24"/>
    <x v="24"/>
    <s v="picaflor de Arica"/>
    <x v="24"/>
    <x v="21"/>
    <s v="Aves"/>
    <x v="0"/>
    <x v="5"/>
    <s v="Canal 9 Bío Bío Televisión"/>
    <s v="https://www.canal9.cl/episodios/nuestra-casa/2026/03/20/picaflor-de-arica-en-peligro-critico-estudio-alerta-impacto-de-la-agricultura-intensiva"/>
    <n v="0"/>
    <n v="1"/>
    <s v="Nacional"/>
    <n v="1"/>
    <s v="Alarma / Crisis"/>
    <n v="1"/>
    <s v="Sí"/>
  </r>
  <r>
    <x v="24"/>
    <x v="24"/>
    <s v="picaflor de Arica"/>
    <x v="24"/>
    <x v="21"/>
    <s v="Aves"/>
    <x v="0"/>
    <x v="6"/>
    <s v="Cooperativa Ciencia"/>
    <s v="https://www.cooperativaciencia.cl/medio-ambiente/2026/03/12/estudio-advierte-perdida-de-habitat-del-picaflor-de-arica-por-expansion-agricola/"/>
    <n v="1"/>
    <n v="1"/>
    <s v="Nacional"/>
    <n v="1"/>
    <s v="Científico / Educativo"/>
    <n v="1"/>
    <s v="Sí"/>
  </r>
  <r>
    <x v="24"/>
    <x v="24"/>
    <s v="picaflor de Arica"/>
    <x v="24"/>
    <x v="21"/>
    <s v="Aves"/>
    <x v="0"/>
    <x v="7"/>
    <s v="Fundación Terram"/>
    <s v="https://www.terram.cl/picaflor-de-arica-pierde-terreno-estudio-alerta-impacto-de-monocultivos-en-azapa-que-hacer/"/>
    <n v="1"/>
    <n v="1"/>
    <s v="Regional"/>
    <n v="1"/>
    <s v="Científico / Educativo"/>
    <n v="1"/>
    <s v="Sí"/>
  </r>
  <r>
    <x v="24"/>
    <x v="24"/>
    <s v="picaflor de Arica"/>
    <x v="24"/>
    <x v="21"/>
    <s v="Aves"/>
    <x v="0"/>
    <x v="8"/>
    <s v="The Clinic"/>
    <s v="https://www.theclinic.cl/2026/02/25/crean-microreserva-de-mas-de-15-hectareas-para-proteger-a-picaflor-de-arica-especie-que-esta-peligro-critico-de-extincion/"/>
    <n v="1"/>
    <n v="1"/>
    <s v="Nacional"/>
    <n v="1"/>
    <s v="Conservación / Positivo"/>
    <n v="1"/>
    <s v="Sí"/>
  </r>
  <r>
    <x v="24"/>
    <x v="24"/>
    <s v="picaflor de Arica"/>
    <x v="24"/>
    <x v="21"/>
    <s v="Aves"/>
    <x v="0"/>
    <x v="9"/>
    <s v="El Mostrador"/>
    <s v="https://www.elmostrador.cl/cultura/ciencia-cultura/2026/03/05/alertan-perdida-de-habitat-del-picaflor-de-arica-por-expansion-de-monocultivos-en-valles-del-norte/"/>
    <n v="1"/>
    <n v="1"/>
    <s v="Nacional"/>
    <n v="1"/>
    <s v="Científico / Educativo"/>
    <n v="1"/>
    <s v="Sí"/>
  </r>
  <r>
    <x v="24"/>
    <x v="24"/>
    <s v="picaflor de Arica"/>
    <x v="24"/>
    <x v="21"/>
    <s v="Aves"/>
    <x v="0"/>
    <x v="10"/>
    <s v="Cooperativa.cl"/>
    <s v="https://www.cooperativa.cl/noticias/pais/medioambiente/animales/picaflor-de-arica-en-peligro-monocultivos-amenazan-su-habitat/2026-03-04/154152.html"/>
    <n v="1"/>
    <n v="1"/>
    <s v="Nacional"/>
    <n v="1"/>
    <s v="Científico / Educativo"/>
    <n v="1"/>
    <s v="Sí"/>
  </r>
  <r>
    <x v="24"/>
    <x v="24"/>
    <s v="picaflor de Arica"/>
    <x v="24"/>
    <x v="21"/>
    <s v="Aves"/>
    <x v="0"/>
    <x v="11"/>
    <s v="Ladera Sur"/>
    <s v="https://laderasur.com/articulo/solo-quedan-400-crean-microreserva-de-mas-de-15-hectareas-para-proteger-al-picaflor-de-arica/"/>
    <n v="0"/>
    <n v="1"/>
    <s v="Nacional"/>
    <n v="1"/>
    <s v="Conservación / Positivo"/>
    <n v="1"/>
    <s v="Sí"/>
  </r>
  <r>
    <x v="24"/>
    <x v="24"/>
    <s v="picaflor de Arica"/>
    <x v="24"/>
    <x v="21"/>
    <s v="Aves"/>
    <x v="0"/>
    <x v="12"/>
    <s v="BioBioChile"/>
    <s v="https://www.biobiochile.cl/noticias/ciencia-y-tecnologia/medio-ambiente-cyt/2026/03/16/estudio-advierte-como-el-picaflor-de-arica-esta-perdiendo-su-habitat-debido-a-los-monocultivos.shtml"/>
    <n v="1"/>
    <n v="1"/>
    <s v="Nacional"/>
    <n v="1"/>
    <s v="Alarma / Crisis"/>
    <n v="1"/>
    <s v="Sí"/>
  </r>
  <r>
    <x v="25"/>
    <x v="25"/>
    <s v="aguilucho de Más Afuera"/>
    <x v="25"/>
    <x v="22"/>
    <s v="Aves"/>
    <x v="0"/>
    <x v="0"/>
    <s v="Sin datos"/>
    <s v="Sin datos"/>
    <s v="Sin datos"/>
    <s v="Sin datos"/>
    <s v="Sin datos"/>
    <s v="Sin datos"/>
    <s v="Sin datos"/>
    <s v="Sin datos"/>
    <s v="Sí"/>
  </r>
  <r>
    <x v="26"/>
    <x v="26"/>
    <s v="caracol"/>
    <x v="26"/>
    <x v="6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27"/>
    <x v="27"/>
    <s v="caracol"/>
    <x v="27"/>
    <x v="6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28"/>
    <x v="28"/>
    <s v="lagartija de Lolol"/>
    <x v="28"/>
    <x v="23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29"/>
    <x v="29"/>
    <s v="lagarto negro"/>
    <x v="29"/>
    <x v="24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30"/>
    <x v="30"/>
    <s v="lagartija de Herman Núñez"/>
    <x v="30"/>
    <x v="25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31"/>
    <x v="31"/>
    <s v="lagartija"/>
    <x v="31"/>
    <x v="26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32"/>
    <x v="32"/>
    <s v="lagarto leopardo de Norma"/>
    <x v="32"/>
    <x v="27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33"/>
    <x v="33"/>
    <s v="Nigroperla costalis"/>
    <x v="33"/>
    <x v="16"/>
    <s v="Insecta"/>
    <x v="0"/>
    <x v="0"/>
    <s v="Sin datos"/>
    <s v="Sin datos"/>
    <s v="Sin datos"/>
    <s v="Sin datos"/>
    <s v="Sin datos"/>
    <s v="Sin datos"/>
    <s v="Sin datos"/>
    <s v="Sin datos"/>
    <s v="Sí"/>
  </r>
  <r>
    <x v="34"/>
    <x v="34"/>
    <s v="tenebrio de Peña"/>
    <x v="34"/>
    <x v="28"/>
    <s v="Insecta"/>
    <x v="0"/>
    <x v="0"/>
    <s v="Sin datos"/>
    <s v="Sin datos"/>
    <s v="Sin datos"/>
    <s v="Sin datos"/>
    <s v="Sin datos"/>
    <s v="Sin datos"/>
    <s v="Sin datos"/>
    <s v="Sin datos"/>
    <s v="Sí"/>
  </r>
  <r>
    <x v="35"/>
    <x v="35"/>
    <s v="caracol terrestre Omalonyx"/>
    <x v="35"/>
    <x v="29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36"/>
    <x v="36"/>
    <s v="pez (genérico)"/>
    <x v="36"/>
    <x v="30"/>
    <s v="Actinopterygii"/>
    <x v="0"/>
    <x v="0"/>
    <s v="Sin datos"/>
    <s v="Sin datos"/>
    <s v="Sin datos"/>
    <s v="Sin datos"/>
    <s v="Sin datos"/>
    <s v="Sin datos"/>
    <s v="Sin datos"/>
    <s v="Sin datos"/>
    <s v="Sí"/>
  </r>
  <r>
    <x v="37"/>
    <x v="37"/>
    <s v="karachi"/>
    <x v="37"/>
    <x v="31"/>
    <s v="Actinopterygii"/>
    <x v="0"/>
    <x v="0"/>
    <s v="Sin datos"/>
    <s v="Sin datos"/>
    <s v="Sin datos"/>
    <s v="Sin datos"/>
    <s v="Sin datos"/>
    <s v="Sin datos"/>
    <s v="Sin datos"/>
    <s v="Sin datos"/>
    <s v="Sí"/>
  </r>
  <r>
    <x v="38"/>
    <x v="38"/>
    <s v="Escama  gigante de palma chilena"/>
    <x v="38"/>
    <x v="32"/>
    <s v="Insecta"/>
    <x v="0"/>
    <x v="0"/>
    <s v="Sin datos"/>
    <s v="Sin datos"/>
    <s v="Sin datos"/>
    <s v="Sin datos"/>
    <s v="Sin datos"/>
    <s v="Sin datos"/>
    <s v="Sin datos"/>
    <s v="Sin datos"/>
    <s v="Sí"/>
  </r>
  <r>
    <x v="39"/>
    <x v="39"/>
    <s v="Paraholopterus nahuelbutensis"/>
    <x v="39"/>
    <x v="16"/>
    <s v="Insecta"/>
    <x v="0"/>
    <x v="0"/>
    <s v="Sin datos"/>
    <s v="Sin datos"/>
    <s v="Sin datos"/>
    <s v="Sin datos"/>
    <s v="Sin datos"/>
    <s v="Sin datos"/>
    <s v="Sin datos"/>
    <s v="Sin datos"/>
    <s v="Sí"/>
  </r>
  <r>
    <x v="40"/>
    <x v="40"/>
    <s v="matuasto de Alicahue"/>
    <x v="40"/>
    <x v="33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41"/>
    <x v="41"/>
    <s v="matuasto del Laja"/>
    <x v="41"/>
    <x v="34"/>
    <s v="Reptilia"/>
    <x v="0"/>
    <x v="0"/>
    <s v="Sin datos"/>
    <s v="Sin datos"/>
    <s v="Sin datos"/>
    <s v="Sin datos"/>
    <s v="Sin datos"/>
    <s v="Sin datos"/>
    <s v="Sin datos"/>
    <s v="Sin datos"/>
    <s v="Sí"/>
  </r>
  <r>
    <x v="42"/>
    <x v="42"/>
    <s v="caracol costilludo de Hualpén"/>
    <x v="42"/>
    <x v="35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43"/>
    <x v="43"/>
    <s v="Praocis medvedevi"/>
    <x v="43"/>
    <x v="16"/>
    <s v="Insecta"/>
    <x v="0"/>
    <x v="0"/>
    <s v="Sin datos"/>
    <s v="Sin datos"/>
    <s v="Sin datos"/>
    <s v="Sin datos"/>
    <s v="Sin datos"/>
    <s v="Sin datos"/>
    <s v="Sin datos"/>
    <s v="Sin datos"/>
    <s v="Sí"/>
  </r>
  <r>
    <x v="44"/>
    <x v="44"/>
    <s v="lagarto gruñidor de Álvaro"/>
    <x v="44"/>
    <x v="36"/>
    <s v="Reptilia"/>
    <x v="0"/>
    <x v="1"/>
    <s v="Meteored Chile"/>
    <s v="https://www.meteored.cl/noticias/ciencia/pinguino-de-humboldt-y-especies-unicas-de-chile-en-peligro-mas-del-70-esta-en-riesgo-de-extincion.html"/>
    <n v="1"/>
    <n v="1"/>
    <s v="Nacional"/>
    <n v="1"/>
    <s v="Alarma/Crisis"/>
    <n v="0"/>
    <s v="Sí"/>
  </r>
  <r>
    <x v="44"/>
    <x v="44"/>
    <s v="lagarto gruñidor de Álvaro"/>
    <x v="44"/>
    <x v="36"/>
    <s v="Reptilia"/>
    <x v="0"/>
    <x v="13"/>
    <s v="El Periodista"/>
    <s v="https://www.elperiodista.cl/2025/10/pinguino-de-humboldt-es-declarado-oficialmente-en-peligro-de-extincion/"/>
    <n v="1"/>
    <n v="1"/>
    <s v=" Nacional"/>
    <n v="1"/>
    <s v=" Alarma/Crisis"/>
    <m/>
    <s v="Sí"/>
  </r>
  <r>
    <x v="44"/>
    <x v="44"/>
    <s v="lagarto gruñidor de Álvaro"/>
    <x v="44"/>
    <x v="36"/>
    <s v="Reptilia"/>
    <x v="0"/>
    <x v="14"/>
    <s v="Futuro 360 | CNN Chile"/>
    <s v="https://futuro360.cnnchile.com/el-pinguino-de-humboldt-pasa-a-estar-en-peligro-de-extincion-y-enciende-las-alarmas-por-la-biodiversidad-en-chile"/>
    <n v="0"/>
    <n v="1"/>
    <s v="Nacional"/>
    <n v="0"/>
    <s v="Alarma / Crisis"/>
    <n v="0"/>
    <s v="Sí"/>
  </r>
  <r>
    <x v="44"/>
    <x v="44"/>
    <s v="lagarto gruñidor de Álvaro"/>
    <x v="44"/>
    <x v="36"/>
    <s v="Reptilia"/>
    <x v="0"/>
    <x v="2"/>
    <s v="Cooperativa Ciencia"/>
    <s v="https://www.cooperativaciencia.cl/medio-ambiente/2025/10/20/pinguino-de-humboldt-y-especies-endemicas-en-chile-aumentan-riesgo-de-extincion/"/>
    <n v="0"/>
    <n v="1"/>
    <s v="Nacional"/>
    <n v="0"/>
    <s v="Alarma / Crisis"/>
    <n v="1"/>
    <s v="Sí"/>
  </r>
  <r>
    <x v="44"/>
    <x v="44"/>
    <s v="lagarto gruñidor de Álvaro"/>
    <x v="44"/>
    <x v="36"/>
    <s v="Reptilia"/>
    <x v="0"/>
    <x v="15"/>
    <s v="Diario Mayor"/>
    <s v="https://www.diariomayor.cl/creando-universidad/academicos/equipo-um-logro-que-el-lagarto-grunidor-de-alvaro-sea-considerado-en-peligro-critico-de-extincion"/>
    <n v="1"/>
    <n v="1"/>
    <s v="Nacional"/>
    <n v="1"/>
    <s v="Científico / Educativo"/>
    <n v="1"/>
    <s v="Sí"/>
  </r>
  <r>
    <x v="44"/>
    <x v="44"/>
    <s v="lagarto gruñidor de Álvaro"/>
    <x v="44"/>
    <x v="36"/>
    <s v="Reptilia"/>
    <x v="0"/>
    <x v="3"/>
    <s v="El Mostrador"/>
    <s v="https://www.elmostrador.cl/agenda-pais/agenda-sustentable/2025/10/28/especies-en-riesgo-pinguino-de-humboldt-lagarto-de-alvaro-y-plantas-de-juan-fernandez-en-alerta/"/>
    <n v="1"/>
    <n v="1"/>
    <s v="Nacional"/>
    <n v="1"/>
    <s v="Alarma / Crisis"/>
    <n v="0"/>
    <s v="Sí"/>
  </r>
  <r>
    <x v="44"/>
    <x v="44"/>
    <s v="lagarto gruñidor de Álvaro"/>
    <x v="44"/>
    <x v="36"/>
    <s v="Reptilia"/>
    <x v="0"/>
    <x v="4"/>
    <s v="Diario Sustentable"/>
    <s v="https://www.diariosustentable.com/2025/10/pinguino-de-humboldt-lagarto-grunidor-y-plantas-endemicas-de-juan-fernandez-aumentan-su-riesgo-de-extincion-en-chile/"/>
    <n v="1"/>
    <n v="1"/>
    <s v="Nacional"/>
    <n v="1"/>
    <s v="Alarma / Crisis"/>
    <n v="1"/>
    <s v="Sí"/>
  </r>
  <r>
    <x v="44"/>
    <x v="44"/>
    <s v="lagarto gruñidor de Álvaro"/>
    <x v="44"/>
    <x v="36"/>
    <s v="Reptilia"/>
    <x v="0"/>
    <x v="16"/>
    <s v="El Desconcierto"/>
    <s v="https://eldesconcierto.cl/2025/10/18/ministra-rojas-expone-dramatico-estado-del-pinguino-de-humboldt-lagarto-grunidor-y-otras-70-especies"/>
    <n v="0"/>
    <n v="1"/>
    <s v="Nacional"/>
    <n v="1"/>
    <s v="Alarma / Crisis"/>
    <n v="0"/>
    <s v="Sí"/>
  </r>
  <r>
    <x v="44"/>
    <x v="44"/>
    <s v="lagarto gruñidor de Álvaro"/>
    <x v="44"/>
    <x v="36"/>
    <s v="Reptilia"/>
    <x v="0"/>
    <x v="17"/>
    <s v="Fundación Terram"/>
    <s v="https://www.terram.cl/declaran-al-lagarto-grunidor-de-alvaro-especie-endemica-chilena-en-peligro-critico-de-extincion/"/>
    <n v="1"/>
    <n v="1"/>
    <s v="Nacional"/>
    <n v="1"/>
    <s v="Alarma / Crisis"/>
    <n v="1"/>
    <s v="Sí"/>
  </r>
  <r>
    <x v="45"/>
    <x v="45"/>
    <s v="pez (genérico)"/>
    <x v="45"/>
    <x v="30"/>
    <s v="Actinopterygii"/>
    <x v="0"/>
    <x v="0"/>
    <s v="Sin datos"/>
    <s v="Sin datos"/>
    <s v="Sin datos"/>
    <s v="Sin datos"/>
    <s v="Sin datos"/>
    <s v="Sin datos"/>
    <s v="Sin datos"/>
    <s v="Sin datos"/>
    <s v="Sí"/>
  </r>
  <r>
    <x v="46"/>
    <x v="46"/>
    <s v="caracol terrestre Punctum"/>
    <x v="46"/>
    <x v="37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47"/>
    <x v="47"/>
    <s v="caracol terrestre Punctum"/>
    <x v="47"/>
    <x v="37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48"/>
    <x v="48"/>
    <s v="ranita "/>
    <x v="48"/>
    <x v="38"/>
    <s v="Amphibia"/>
    <x v="0"/>
    <x v="18"/>
    <s v="Meganoticias"/>
    <s v="https://www.meganoticias.cl/nacional/517253-gobierno-retira-mas-de-40-decretos-ambientales-proteccion-ranita-de-darwin-pinguino-de-humboldt-17-3-2026.html"/>
    <n v="1"/>
    <n v="1"/>
    <s v=" Nacional"/>
    <n v="1"/>
    <s v=" Denuncia/Conflicto"/>
    <n v="0"/>
    <s v="Sí"/>
  </r>
  <r>
    <x v="48"/>
    <x v="48"/>
    <s v="ranita "/>
    <x v="48"/>
    <x v="38"/>
    <s v="Amphibia"/>
    <x v="0"/>
    <x v="19"/>
    <s v="EL PAÍS"/>
    <s v="https://elpais.com/chile/2026-02-23/la-ranita-descubierta-por-charles-darwin-en-chile-busca-salvarse-de-la-extincion.html"/>
    <n v="1"/>
    <n v="1"/>
    <s v=" Nacional"/>
    <n v="0"/>
    <s v=" Científico/Educativo"/>
    <n v="1"/>
    <s v="Sí"/>
  </r>
  <r>
    <x v="48"/>
    <x v="48"/>
    <s v="ranita "/>
    <x v="48"/>
    <x v="38"/>
    <s v="Amphibia"/>
    <x v="0"/>
    <x v="20"/>
    <s v="Noticias UNAB"/>
    <s v="https://noticias.unab.cl/investigacion-con-sello-unab-revela-como-un-hongo-letal-amenaza-la-supervivencia-de-la-ranita-de-darwin/"/>
    <n v="0"/>
    <n v="1"/>
    <s v=" Nacional"/>
    <n v="0"/>
    <s v=" Científico/Educativo"/>
    <n v="0"/>
    <s v="Sí"/>
  </r>
  <r>
    <x v="48"/>
    <x v="48"/>
    <s v="ranita "/>
    <x v="48"/>
    <x v="38"/>
    <s v="Amphibia"/>
    <x v="0"/>
    <x v="21"/>
    <s v="BioBioChile"/>
    <s v="https://www.biobiochile.cl/noticias/ciencia-y-tecnologia/ciencia/2026/01/08/dilucidan-como-una-enfermedad-esta-extinguiendo-a-la-ranita-de-darwin-ya-mato-a-su-especie-hermana.shtml"/>
    <n v="0"/>
    <n v="1"/>
    <s v=" Nacional"/>
    <n v="0"/>
    <s v=" Científico/Educativo"/>
    <n v="0"/>
    <s v="Sí"/>
  </r>
  <r>
    <x v="48"/>
    <x v="48"/>
    <s v="ranita "/>
    <x v="48"/>
    <x v="38"/>
    <s v="Amphibia"/>
    <x v="0"/>
    <x v="22"/>
    <s v="24horas"/>
    <s v="https://www.24horas.cl/conciencia-24-7/ciencia/cientifico-chileno-estudio-extincion-ranita-darwin"/>
    <n v="0"/>
    <n v="1"/>
    <s v=" Nacional"/>
    <n v="0"/>
    <s v=" Científico/Educativo"/>
    <n v="0"/>
    <s v="Sí"/>
  </r>
  <r>
    <x v="48"/>
    <x v="48"/>
    <s v="ranita "/>
    <x v="48"/>
    <x v="38"/>
    <s v="Amphibia"/>
    <x v="0"/>
    <x v="23"/>
    <s v="Cooperativa.cl"/>
    <s v="https://www.cooperativa.cl/noticias/sociedad/fauna/alianza-internacional-en-huilo-huilo-busca-proteger-a-la-ranita-de/2026-02-06/124716.html"/>
    <n v="0"/>
    <n v="1"/>
    <s v=" Nacional"/>
    <n v="0"/>
    <s v=" Científico/Educativo"/>
    <n v="0"/>
    <s v="Sí"/>
  </r>
  <r>
    <x v="48"/>
    <x v="48"/>
    <s v="ranita "/>
    <x v="48"/>
    <x v="38"/>
    <s v="Amphibia"/>
    <x v="0"/>
    <x v="24"/>
    <s v="ADN Radio"/>
    <s v="https://www.adnradio.cl/2026/02/23/guardabosques-chilenos-y-zoologico-de-londres-buscan-salvar-a-la-ranita-de-darwin-de-la-extincion/"/>
    <n v="1"/>
    <n v="1"/>
    <s v=" Nacional"/>
    <n v="0"/>
    <s v=" Científico/Educativo"/>
    <n v="0"/>
    <s v="Sí"/>
  </r>
  <r>
    <x v="48"/>
    <x v="48"/>
    <s v="ranita "/>
    <x v="48"/>
    <x v="38"/>
    <s v="Amphibia"/>
    <x v="0"/>
    <x v="25"/>
    <s v="Cooperativa Ciencia"/>
    <s v="https://www.cooperativaciencia.cl/medio-ambiente/2026/01/02/cientifico-chileno-lidera-estudio-que-revela-como-un-hongo-letal-esta-extinguiendo-a-la-ranita-de-darwin/"/>
    <n v="0"/>
    <n v="1"/>
    <s v=" Nacional"/>
    <n v="0"/>
    <s v=" Científico/Educativo"/>
    <n v="0"/>
    <s v="Sí"/>
  </r>
  <r>
    <x v="48"/>
    <x v="48"/>
    <s v="ranita "/>
    <x v="48"/>
    <x v="38"/>
    <s v="Amphibia"/>
    <x v="0"/>
    <x v="26"/>
    <s v="BioBioChile"/>
    <s v="https://www.biobiochile.cl/noticias/ciencia-y-tecnologia/ciencia/2026/01/26/investigacion-chilena-descubre-como-un-hongo-invasivo-provoca-epidemias-letales-en-anfibios-terrestres.shtml"/>
    <n v="0"/>
    <n v="1"/>
    <s v=" Nacional"/>
    <n v="0"/>
    <s v=" Científico/Educativo"/>
    <n v="0"/>
    <s v="Sí"/>
  </r>
  <r>
    <x v="48"/>
    <x v="48"/>
    <s v="ranita "/>
    <x v="48"/>
    <x v="38"/>
    <s v="Amphibia"/>
    <x v="0"/>
    <x v="27"/>
    <s v="El Ovallino"/>
    <s v="https://www.elovallino.cl/retiran-decreto-que-protegia-al-pinguino-de-humboldt/"/>
    <n v="1"/>
    <n v="1"/>
    <s v="Nacional"/>
    <n v="1"/>
    <s v="Denuncia / Conflicto"/>
    <n v="0"/>
    <s v="Sí"/>
  </r>
  <r>
    <x v="48"/>
    <x v="48"/>
    <s v="ranita "/>
    <x v="48"/>
    <x v="38"/>
    <s v="Amphibia"/>
    <x v="0"/>
    <x v="28"/>
    <s v="Interferencia |"/>
    <s v="https://interferencia.cl/articulos/contra-ranita-de-darwin-pinguino-de-humboldt-y-areas-protegidas-kast-defiende-retiro-de-43"/>
    <n v="0"/>
    <n v="1"/>
    <s v="Nacional"/>
    <n v="1"/>
    <s v="Denuncia / Conflicto"/>
    <n v="0"/>
    <s v="Sí"/>
  </r>
  <r>
    <x v="48"/>
    <x v="48"/>
    <s v="ranita "/>
    <x v="48"/>
    <x v="38"/>
    <s v="Amphibia"/>
    <x v="0"/>
    <x v="29"/>
    <s v="Radio Paulina"/>
    <s v="https://radiopaulina.cl/2026/03/20/contraloria-aprueba-plan-para-proteger-a-las-ranitas-de-darwin-tras-revision-del-gobierno/"/>
    <n v="1"/>
    <n v="1"/>
    <s v="Nacional"/>
    <n v="1"/>
    <s v="Conservación / Positivo"/>
    <n v="0"/>
    <s v="Sí"/>
  </r>
  <r>
    <x v="48"/>
    <x v="48"/>
    <s v="ranita "/>
    <x v="48"/>
    <x v="38"/>
    <s v="Amphibia"/>
    <x v="0"/>
    <x v="30"/>
    <s v="El Mostrador"/>
    <s v="https://www.elmostrador.cl/agenda-pais/agenda-sustentable/2026/01/09/revelan-como-el-hongo-quitrido-se-propaga-y-empuja-a-la-ranita-de-darwin-a-la-extincion-en-chile/"/>
    <n v="0"/>
    <n v="1"/>
    <s v="Nacional"/>
    <n v="0"/>
    <s v="Alarma / Crisis"/>
    <n v="0"/>
    <s v="Sí"/>
  </r>
  <r>
    <x v="49"/>
    <x v="49"/>
    <s v="borrachito"/>
    <x v="49"/>
    <x v="39"/>
    <s v="Insecta"/>
    <x v="0"/>
    <x v="31"/>
    <s v="Pontificia Universidad Católica de Chile"/>
    <s v="https://biologia.uc.cl/1000-genomas-el-proyecto-que-busca-construir-el-inventario-mas-completo-de-la-biodiversidad-de-chile/"/>
    <n v="1"/>
    <n v="1"/>
    <s v="Nacional"/>
    <n v="0"/>
    <s v="Científico / Educativo"/>
    <n v="0"/>
    <s v="Sí"/>
  </r>
  <r>
    <x v="50"/>
    <x v="50"/>
    <s v="picaflor de Juan Fernández"/>
    <x v="50"/>
    <x v="40"/>
    <s v="Aves"/>
    <x v="0"/>
    <x v="32"/>
    <s v="EL PAÍS"/>
    <s v="https://elpais.com/chile/2025-10-20/chile-levanta-el-mayor-registro-genetico-de-su-biodiversidad.html"/>
    <n v="0"/>
    <n v="1"/>
    <s v="Nacional"/>
    <n v="0"/>
    <s v="Científico / Educativo"/>
    <n v="1"/>
    <s v="Sí"/>
  </r>
  <r>
    <x v="51"/>
    <x v="51"/>
    <s v="mosco de Juan Fernández"/>
    <x v="51"/>
    <x v="41"/>
    <s v="Insecta"/>
    <x v="0"/>
    <x v="0"/>
    <s v="Sin datos"/>
    <s v="Sin datos"/>
    <s v="Sin datos"/>
    <s v="Sin datos"/>
    <s v="Sin datos"/>
    <s v="Sin datos"/>
    <s v="Sin datos"/>
    <s v="Sin datos"/>
    <s v="Sí"/>
  </r>
  <r>
    <x v="52"/>
    <x v="52"/>
    <s v="caracol terrestre Succinea"/>
    <x v="52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3"/>
    <x v="53"/>
    <s v="caracol terrestre Succinea"/>
    <x v="53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4"/>
    <x v="54"/>
    <s v="caracol terrestre Succinea"/>
    <x v="54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5"/>
    <x v="55"/>
    <s v="caracol terrestre Succinea"/>
    <x v="55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6"/>
    <x v="56"/>
    <s v="caracol terrestre Succinea"/>
    <x v="56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7"/>
    <x v="57"/>
    <s v="caracol terrestre Succinea"/>
    <x v="57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8"/>
    <x v="58"/>
    <s v="caracol terrestre Succinea"/>
    <x v="58"/>
    <x v="42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59"/>
    <x v="59"/>
    <s v="gorgona amarilla-roja"/>
    <x v="59"/>
    <x v="43"/>
    <s v="Anthozoa"/>
    <x v="0"/>
    <x v="0"/>
    <s v="Sin datos"/>
    <s v="Sin datos"/>
    <s v="Sin datos"/>
    <s v="Sin datos"/>
    <s v="Sin datos"/>
    <s v="Sin datos"/>
    <s v="Sin datos"/>
    <s v="Sin datos"/>
    <s v="Sí"/>
  </r>
  <r>
    <x v="60"/>
    <x v="60"/>
    <s v="sapo"/>
    <x v="60"/>
    <x v="44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61"/>
    <x v="61"/>
    <s v="sapo de Danko"/>
    <x v="61"/>
    <x v="45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62"/>
    <x v="62"/>
    <s v="sapo "/>
    <x v="62"/>
    <x v="46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63"/>
    <x v="63"/>
    <s v="sapo "/>
    <x v="63"/>
    <x v="46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64"/>
    <x v="64"/>
    <s v="rana de Vilama"/>
    <x v="64"/>
    <x v="47"/>
    <s v="Amphibia"/>
    <x v="0"/>
    <x v="0"/>
    <s v="Sin datos"/>
    <s v="Sin datos"/>
    <s v="Sin datos"/>
    <s v="Sin datos"/>
    <s v="Sin datos"/>
    <s v="Sin datos"/>
    <s v="Sin datos"/>
    <s v="Sin datos"/>
    <s v="Sí"/>
  </r>
  <r>
    <x v="65"/>
    <x v="65"/>
    <s v="caracol terrestre Tornatellina"/>
    <x v="65"/>
    <x v="48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66"/>
    <x v="66"/>
    <s v="caracol terrestre Tornatellina"/>
    <x v="66"/>
    <x v="48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67"/>
    <x v="67"/>
    <s v="caracol terrestre Tornatellina"/>
    <x v="67"/>
    <x v="48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68"/>
    <x v="68"/>
    <s v="caracol terrestre Tornatellina"/>
    <x v="68"/>
    <x v="48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69"/>
    <x v="69"/>
    <s v="caracol terrestre Tornatellina"/>
    <x v="69"/>
    <x v="48"/>
    <s v="Gastropoda"/>
    <x v="0"/>
    <x v="0"/>
    <s v="Sin datos"/>
    <s v="Sin datos"/>
    <s v="Sin datos"/>
    <s v="Sin datos"/>
    <s v="Sin datos"/>
    <s v="Sin datos"/>
    <s v="Sin datos"/>
    <s v="Sin datos"/>
    <s v="Sí"/>
  </r>
  <r>
    <x v="70"/>
    <x v="70"/>
    <s v="Acalodegma vidali"/>
    <x v="70"/>
    <x v="16"/>
    <s v="Insecta"/>
    <x v="1"/>
    <x v="33"/>
    <m/>
    <m/>
    <m/>
    <m/>
    <m/>
    <m/>
    <m/>
    <m/>
    <s v="Sí"/>
  </r>
  <r>
    <x v="71"/>
    <x v="71"/>
    <s v="Pancora"/>
    <x v="71"/>
    <x v="1"/>
    <s v="Malacostraca"/>
    <x v="1"/>
    <x v="33"/>
    <m/>
    <m/>
    <m/>
    <m/>
    <m/>
    <m/>
    <m/>
    <m/>
    <s v="Sí"/>
  </r>
  <r>
    <x v="72"/>
    <x v="72"/>
    <s v="Pancora"/>
    <x v="72"/>
    <x v="1"/>
    <s v="Malacostraca"/>
    <x v="1"/>
    <x v="33"/>
    <m/>
    <m/>
    <m/>
    <m/>
    <m/>
    <m/>
    <m/>
    <m/>
    <s v="Sí"/>
  </r>
  <r>
    <x v="73"/>
    <x v="73"/>
    <s v="Pancora"/>
    <x v="73"/>
    <x v="1"/>
    <s v="Malacostraca"/>
    <x v="1"/>
    <x v="33"/>
    <m/>
    <m/>
    <m/>
    <m/>
    <m/>
    <m/>
    <m/>
    <m/>
    <s v="Sí"/>
  </r>
  <r>
    <x v="74"/>
    <x v="74"/>
    <s v="Pancora"/>
    <x v="74"/>
    <x v="1"/>
    <s v="Malacostraca"/>
    <x v="1"/>
    <x v="33"/>
    <m/>
    <m/>
    <m/>
    <m/>
    <m/>
    <m/>
    <m/>
    <m/>
    <s v="Sí"/>
  </r>
  <r>
    <x v="75"/>
    <x v="75"/>
    <s v="Pancora"/>
    <x v="75"/>
    <x v="1"/>
    <s v="Malacostraca"/>
    <x v="1"/>
    <x v="33"/>
    <m/>
    <m/>
    <m/>
    <m/>
    <m/>
    <m/>
    <m/>
    <m/>
    <s v="Sí"/>
  </r>
  <r>
    <x v="76"/>
    <x v="76"/>
    <s v="Pancora"/>
    <x v="76"/>
    <x v="1"/>
    <s v="Malacostraca"/>
    <x v="1"/>
    <x v="33"/>
    <m/>
    <m/>
    <m/>
    <m/>
    <m/>
    <m/>
    <m/>
    <m/>
    <s v="Sí"/>
  </r>
  <r>
    <x v="77"/>
    <x v="77"/>
    <s v="Mosca florícola de Juan Fernández"/>
    <x v="77"/>
    <x v="49"/>
    <s v="Insecta"/>
    <x v="1"/>
    <x v="33"/>
    <m/>
    <m/>
    <m/>
    <m/>
    <m/>
    <m/>
    <m/>
    <m/>
    <s v="Sí"/>
  </r>
  <r>
    <x v="78"/>
    <x v="78"/>
    <s v="Sapo de Barros"/>
    <x v="78"/>
    <x v="50"/>
    <s v="Amphibia"/>
    <x v="2"/>
    <x v="33"/>
    <m/>
    <m/>
    <m/>
    <m/>
    <m/>
    <m/>
    <m/>
    <m/>
    <s v="Sí"/>
  </r>
  <r>
    <x v="79"/>
    <x v="79"/>
    <s v="Sapo"/>
    <x v="79"/>
    <x v="44"/>
    <s v="Amphibia"/>
    <x v="1"/>
    <x v="33"/>
    <m/>
    <m/>
    <m/>
    <m/>
    <m/>
    <m/>
    <m/>
    <m/>
    <s v="Sí"/>
  </r>
  <r>
    <x v="80"/>
    <x v="80"/>
    <s v="Sapo de monte"/>
    <x v="80"/>
    <x v="51"/>
    <s v="Amphibia"/>
    <x v="2"/>
    <x v="33"/>
    <m/>
    <m/>
    <m/>
    <m/>
    <m/>
    <m/>
    <m/>
    <m/>
    <s v="Sí"/>
  </r>
  <r>
    <x v="81"/>
    <x v="81"/>
    <s v="Sapo"/>
    <x v="81"/>
    <x v="44"/>
    <s v="Amphibia"/>
    <x v="2"/>
    <x v="33"/>
    <m/>
    <m/>
    <m/>
    <m/>
    <m/>
    <m/>
    <m/>
    <m/>
    <s v="Sí"/>
  </r>
  <r>
    <x v="82"/>
    <x v="82"/>
    <s v="Rana de pecho espinoso de Cordillera Pelada"/>
    <x v="82"/>
    <x v="52"/>
    <s v="Amphibia"/>
    <x v="1"/>
    <x v="33"/>
    <m/>
    <m/>
    <m/>
    <m/>
    <m/>
    <m/>
    <m/>
    <m/>
    <s v="Sí"/>
  </r>
  <r>
    <x v="83"/>
    <x v="83"/>
    <s v="Sapo de Vanzolini"/>
    <x v="83"/>
    <x v="53"/>
    <s v="Amphibia"/>
    <x v="2"/>
    <x v="33"/>
    <m/>
    <m/>
    <m/>
    <m/>
    <m/>
    <m/>
    <m/>
    <m/>
    <s v="Sí"/>
  </r>
  <r>
    <x v="84"/>
    <x v="84"/>
    <s v="Sapo de pecho espinoso de verrugas"/>
    <x v="84"/>
    <x v="54"/>
    <s v="Amphibia"/>
    <x v="1"/>
    <x v="33"/>
    <m/>
    <m/>
    <m/>
    <m/>
    <m/>
    <m/>
    <m/>
    <m/>
    <s v="Sí"/>
  </r>
  <r>
    <x v="85"/>
    <x v="85"/>
    <s v="Típula pintada"/>
    <x v="85"/>
    <x v="55"/>
    <s v="Insecta"/>
    <x v="1"/>
    <x v="33"/>
    <m/>
    <m/>
    <m/>
    <m/>
    <m/>
    <m/>
    <m/>
    <m/>
    <s v="Sí"/>
  </r>
  <r>
    <x v="86"/>
    <x v="86"/>
    <s v="Liguay"/>
    <x v="86"/>
    <x v="56"/>
    <s v="Clitellata"/>
    <x v="1"/>
    <x v="33"/>
    <m/>
    <m/>
    <m/>
    <m/>
    <m/>
    <m/>
    <m/>
    <m/>
    <s v="Sí"/>
  </r>
  <r>
    <x v="87"/>
    <x v="87"/>
    <s v="Caracol terrestre Amphidoxa"/>
    <x v="87"/>
    <x v="57"/>
    <s v="Gastropoda"/>
    <x v="1"/>
    <x v="33"/>
    <m/>
    <m/>
    <m/>
    <m/>
    <m/>
    <m/>
    <m/>
    <m/>
    <s v="Sí"/>
  </r>
  <r>
    <x v="88"/>
    <x v="88"/>
    <s v="Caracol terrestre Amphidoxa"/>
    <x v="88"/>
    <x v="57"/>
    <s v="Gastropoda"/>
    <x v="1"/>
    <x v="33"/>
    <m/>
    <m/>
    <m/>
    <m/>
    <m/>
    <m/>
    <m/>
    <m/>
    <s v="Sí"/>
  </r>
  <r>
    <x v="89"/>
    <x v="89"/>
    <s v="Caracol terrestre Amphidoxa"/>
    <x v="89"/>
    <x v="57"/>
    <s v="Gastropoda"/>
    <x v="1"/>
    <x v="33"/>
    <m/>
    <m/>
    <m/>
    <m/>
    <m/>
    <m/>
    <m/>
    <m/>
    <s v="Sí"/>
  </r>
  <r>
    <x v="90"/>
    <x v="90"/>
    <s v="Caracol terrestre Amphidoxa"/>
    <x v="90"/>
    <x v="57"/>
    <s v="Gastropoda"/>
    <x v="1"/>
    <x v="33"/>
    <m/>
    <m/>
    <m/>
    <m/>
    <m/>
    <m/>
    <m/>
    <m/>
    <s v="Sí"/>
  </r>
  <r>
    <x v="91"/>
    <x v="91"/>
    <s v="Caracol terrestre Amphidoxa"/>
    <x v="91"/>
    <x v="57"/>
    <s v="Gastropoda"/>
    <x v="1"/>
    <x v="33"/>
    <m/>
    <m/>
    <m/>
    <m/>
    <m/>
    <m/>
    <m/>
    <m/>
    <s v="Sí"/>
  </r>
  <r>
    <x v="92"/>
    <x v="92"/>
    <s v="Caracol terrestre Amphidoxa"/>
    <x v="92"/>
    <x v="57"/>
    <s v="Gastropoda"/>
    <x v="1"/>
    <x v="33"/>
    <m/>
    <m/>
    <m/>
    <m/>
    <m/>
    <m/>
    <m/>
    <m/>
    <s v="Sí"/>
  </r>
  <r>
    <x v="93"/>
    <x v="93"/>
    <s v="Caracol terrestre Amphidoxa"/>
    <x v="93"/>
    <x v="57"/>
    <s v="Gastropoda"/>
    <x v="1"/>
    <x v="33"/>
    <m/>
    <m/>
    <m/>
    <m/>
    <m/>
    <m/>
    <m/>
    <m/>
    <s v="Sí"/>
  </r>
  <r>
    <x v="94"/>
    <x v="94"/>
    <s v="Caracol terrestre Amphidoxa"/>
    <x v="94"/>
    <x v="57"/>
    <s v="Gastropoda"/>
    <x v="1"/>
    <x v="33"/>
    <m/>
    <m/>
    <m/>
    <m/>
    <m/>
    <m/>
    <m/>
    <m/>
    <s v="Sí"/>
  </r>
  <r>
    <x v="95"/>
    <x v="95"/>
    <s v="Cachudito de Juan Fernández "/>
    <x v="95"/>
    <x v="58"/>
    <s v="Aves"/>
    <x v="2"/>
    <x v="33"/>
    <m/>
    <m/>
    <m/>
    <m/>
    <m/>
    <m/>
    <m/>
    <m/>
    <s v="Sí"/>
  </r>
  <r>
    <x v="96"/>
    <x v="96"/>
    <s v="Peladilla"/>
    <x v="96"/>
    <x v="59"/>
    <s v="Actinopterygii"/>
    <x v="1"/>
    <x v="33"/>
    <m/>
    <m/>
    <m/>
    <m/>
    <m/>
    <m/>
    <m/>
    <m/>
    <s v="Sí"/>
  </r>
  <r>
    <x v="97"/>
    <x v="97"/>
    <s v="Peladilla"/>
    <x v="97"/>
    <x v="59"/>
    <s v="Actinopterygii"/>
    <x v="1"/>
    <x v="33"/>
    <m/>
    <m/>
    <m/>
    <m/>
    <m/>
    <m/>
    <m/>
    <m/>
    <s v="Sí"/>
  </r>
  <r>
    <x v="98"/>
    <x v="98"/>
    <s v="Mancapollo"/>
    <x v="98"/>
    <x v="60"/>
    <s v="Insecta"/>
    <x v="1"/>
    <x v="33"/>
    <m/>
    <m/>
    <m/>
    <m/>
    <m/>
    <m/>
    <m/>
    <m/>
    <s v="Sí"/>
  </r>
  <r>
    <x v="99"/>
    <x v="99"/>
    <s v="Fardela blanca"/>
    <x v="99"/>
    <x v="61"/>
    <s v="Aves"/>
    <x v="1"/>
    <x v="33"/>
    <m/>
    <m/>
    <m/>
    <m/>
    <m/>
    <m/>
    <m/>
    <m/>
    <s v="Sí"/>
  </r>
  <r>
    <x v="100"/>
    <x v="100"/>
    <s v="Escarabajo"/>
    <x v="100"/>
    <x v="62"/>
    <s v="Insecta"/>
    <x v="1"/>
    <x v="33"/>
    <m/>
    <m/>
    <m/>
    <m/>
    <m/>
    <m/>
    <m/>
    <m/>
    <s v="Sí"/>
  </r>
  <r>
    <x v="101"/>
    <x v="101"/>
    <s v="Escorpión de Cepeda"/>
    <x v="101"/>
    <x v="63"/>
    <s v="Arachnida"/>
    <x v="1"/>
    <x v="33"/>
    <m/>
    <m/>
    <m/>
    <m/>
    <m/>
    <m/>
    <m/>
    <m/>
    <s v="Sí"/>
  </r>
  <r>
    <x v="102"/>
    <x v="102"/>
    <s v="Bagrecito"/>
    <x v="102"/>
    <x v="64"/>
    <s v="Actinopterygii"/>
    <x v="1"/>
    <x v="33"/>
    <m/>
    <m/>
    <m/>
    <m/>
    <m/>
    <m/>
    <m/>
    <m/>
    <s v="Sí"/>
  </r>
  <r>
    <x v="103"/>
    <x v="103"/>
    <s v="Cascarudo de Cantillana"/>
    <x v="103"/>
    <x v="65"/>
    <s v="Insecta"/>
    <x v="1"/>
    <x v="33"/>
    <m/>
    <m/>
    <m/>
    <m/>
    <m/>
    <m/>
    <m/>
    <m/>
    <s v="Sí"/>
  </r>
  <r>
    <x v="104"/>
    <x v="104"/>
    <s v="Cascarudo de Las Docas"/>
    <x v="104"/>
    <x v="66"/>
    <s v="Insecta"/>
    <x v="1"/>
    <x v="33"/>
    <m/>
    <m/>
    <m/>
    <m/>
    <m/>
    <m/>
    <m/>
    <m/>
    <s v="Sí"/>
  </r>
  <r>
    <x v="105"/>
    <x v="105"/>
    <s v="Cascarudo de Peña"/>
    <x v="105"/>
    <x v="67"/>
    <s v="Insecta"/>
    <x v="1"/>
    <x v="33"/>
    <m/>
    <m/>
    <m/>
    <m/>
    <m/>
    <m/>
    <m/>
    <m/>
    <s v="Sí"/>
  </r>
  <r>
    <x v="106"/>
    <x v="106"/>
    <s v="Cascarudo de la Plata"/>
    <x v="106"/>
    <x v="68"/>
    <s v="Insecta"/>
    <x v="1"/>
    <x v="33"/>
    <m/>
    <m/>
    <m/>
    <m/>
    <m/>
    <m/>
    <m/>
    <m/>
    <s v="Sí"/>
  </r>
  <r>
    <x v="107"/>
    <x v="107"/>
    <s v="Caracol terrestre Charopa"/>
    <x v="107"/>
    <x v="69"/>
    <s v="Gastropoda"/>
    <x v="1"/>
    <x v="33"/>
    <m/>
    <m/>
    <m/>
    <m/>
    <m/>
    <m/>
    <m/>
    <m/>
    <s v="Sí"/>
  </r>
  <r>
    <x v="108"/>
    <x v="108"/>
    <s v="Caracol terrestre Charopa"/>
    <x v="108"/>
    <x v="69"/>
    <s v="Gastropoda"/>
    <x v="1"/>
    <x v="33"/>
    <m/>
    <m/>
    <m/>
    <m/>
    <m/>
    <m/>
    <m/>
    <m/>
    <s v="Sí"/>
  </r>
  <r>
    <x v="109"/>
    <x v="109"/>
    <s v="Pocha"/>
    <x v="109"/>
    <x v="70"/>
    <s v="Actinopterygii"/>
    <x v="2"/>
    <x v="33"/>
    <m/>
    <m/>
    <m/>
    <m/>
    <m/>
    <m/>
    <m/>
    <m/>
    <s v="Sí"/>
  </r>
  <r>
    <x v="110"/>
    <x v="110"/>
    <s v="Chanchito blanco de la araucaria"/>
    <x v="110"/>
    <x v="71"/>
    <s v="Insecta"/>
    <x v="3"/>
    <x v="33"/>
    <m/>
    <m/>
    <m/>
    <m/>
    <m/>
    <m/>
    <m/>
    <m/>
    <s v="Sí"/>
  </r>
  <r>
    <x v="111"/>
    <x v="111"/>
    <s v="Chinchilla costina"/>
    <x v="111"/>
    <x v="72"/>
    <s v="Mammalia"/>
    <x v="1"/>
    <x v="33"/>
    <m/>
    <m/>
    <m/>
    <m/>
    <m/>
    <m/>
    <m/>
    <m/>
    <s v="Sí"/>
  </r>
  <r>
    <x v="112"/>
    <x v="112"/>
    <s v="Mamata"/>
    <x v="112"/>
    <x v="73"/>
    <s v="Actinopterygii"/>
    <x v="1"/>
    <x v="33"/>
    <m/>
    <m/>
    <m/>
    <m/>
    <m/>
    <m/>
    <m/>
    <m/>
    <s v="Sí"/>
  </r>
  <r>
    <x v="113"/>
    <x v="113"/>
    <s v="Cnemalobus hirsutus"/>
    <x v="113"/>
    <x v="16"/>
    <s v="Insecta"/>
    <x v="1"/>
    <x v="33"/>
    <m/>
    <m/>
    <m/>
    <m/>
    <m/>
    <m/>
    <m/>
    <m/>
    <s v="Sí"/>
  </r>
  <r>
    <x v="114"/>
    <x v="114"/>
    <s v="Cnemalobus nuria"/>
    <x v="114"/>
    <x v="16"/>
    <s v="Insecta"/>
    <x v="1"/>
    <x v="33"/>
    <m/>
    <m/>
    <m/>
    <m/>
    <m/>
    <m/>
    <m/>
    <m/>
    <s v="Sí"/>
  </r>
  <r>
    <x v="115"/>
    <x v="115"/>
    <s v="Balita"/>
    <x v="115"/>
    <x v="74"/>
    <s v="Insecta"/>
    <x v="1"/>
    <x v="33"/>
    <m/>
    <m/>
    <m/>
    <m/>
    <m/>
    <m/>
    <m/>
    <m/>
    <s v="Sí"/>
  </r>
  <r>
    <x v="116"/>
    <x v="116"/>
    <s v="Balita"/>
    <x v="116"/>
    <x v="75"/>
    <s v="Insecta"/>
    <x v="1"/>
    <x v="33"/>
    <m/>
    <m/>
    <m/>
    <m/>
    <m/>
    <m/>
    <m/>
    <m/>
    <s v="Sí"/>
  </r>
  <r>
    <x v="117"/>
    <x v="117"/>
    <s v="Tollo"/>
    <x v="117"/>
    <x v="76"/>
    <s v="Actinopterygii"/>
    <x v="1"/>
    <x v="33"/>
    <m/>
    <m/>
    <m/>
    <m/>
    <m/>
    <m/>
    <m/>
    <m/>
    <s v="Sí"/>
  </r>
  <r>
    <x v="118"/>
    <x v="118"/>
    <s v="Tollo de agua dulce"/>
    <x v="118"/>
    <x v="77"/>
    <s v="Actinopterygii"/>
    <x v="2"/>
    <x v="33"/>
    <m/>
    <m/>
    <m/>
    <m/>
    <m/>
    <m/>
    <m/>
    <m/>
    <s v="Sí"/>
  </r>
  <r>
    <x v="119"/>
    <x v="119"/>
    <s v="Tollo "/>
    <x v="119"/>
    <x v="78"/>
    <s v="Actinopterygii"/>
    <x v="1"/>
    <x v="33"/>
    <m/>
    <m/>
    <m/>
    <m/>
    <m/>
    <m/>
    <m/>
    <m/>
    <s v="Sí"/>
  </r>
  <r>
    <x v="120"/>
    <x v="120"/>
    <s v="Langosta de alas cortas; langosta de Ureta; langosta de Lila; langosta de La Chimba_x000a_"/>
    <x v="120"/>
    <x v="79"/>
    <s v="Insecta"/>
    <x v="1"/>
    <x v="33"/>
    <m/>
    <m/>
    <m/>
    <m/>
    <m/>
    <m/>
    <m/>
    <m/>
    <s v="Sí"/>
  </r>
  <r>
    <x v="121"/>
    <x v="121"/>
    <s v="Borrachito de Tolhuaca"/>
    <x v="121"/>
    <x v="80"/>
    <s v="Insecta"/>
    <x v="1"/>
    <x v="33"/>
    <m/>
    <m/>
    <m/>
    <m/>
    <m/>
    <m/>
    <m/>
    <m/>
    <s v="Sí"/>
  </r>
  <r>
    <x v="122"/>
    <x v="122"/>
    <s v="Tarántula afín de Santiago"/>
    <x v="122"/>
    <x v="81"/>
    <s v="Arachnida"/>
    <x v="1"/>
    <x v="33"/>
    <m/>
    <m/>
    <m/>
    <m/>
    <m/>
    <m/>
    <m/>
    <m/>
    <s v="Sí"/>
  </r>
  <r>
    <x v="123"/>
    <x v="123"/>
    <s v="Rana de hojarasca de Oncol"/>
    <x v="123"/>
    <x v="82"/>
    <s v="Amphibia"/>
    <x v="1"/>
    <x v="33"/>
    <m/>
    <m/>
    <m/>
    <m/>
    <m/>
    <m/>
    <m/>
    <m/>
    <s v="Sí"/>
  </r>
  <r>
    <x v="124"/>
    <x v="124"/>
    <s v="Sapo de Contulmo"/>
    <x v="124"/>
    <x v="83"/>
    <s v="Amphibia"/>
    <x v="1"/>
    <x v="33"/>
    <m/>
    <m/>
    <m/>
    <m/>
    <m/>
    <m/>
    <m/>
    <m/>
    <s v="Sí"/>
  </r>
  <r>
    <x v="125"/>
    <x v="125"/>
    <s v="Sapo de Isla Mocha"/>
    <x v="125"/>
    <x v="84"/>
    <s v="Amphibia"/>
    <x v="2"/>
    <x v="33"/>
    <m/>
    <m/>
    <m/>
    <m/>
    <m/>
    <m/>
    <m/>
    <m/>
    <s v="Sí"/>
  </r>
  <r>
    <x v="126"/>
    <x v="126"/>
    <s v="Sapo de Miguel"/>
    <x v="126"/>
    <x v="85"/>
    <s v="Amphibia"/>
    <x v="2"/>
    <x v="33"/>
    <m/>
    <m/>
    <m/>
    <m/>
    <m/>
    <m/>
    <m/>
    <m/>
    <s v="Sí"/>
  </r>
  <r>
    <x v="127"/>
    <x v="127"/>
    <s v="Sapo de Nahuelbuta"/>
    <x v="127"/>
    <x v="86"/>
    <s v="Amphibia"/>
    <x v="2"/>
    <x v="33"/>
    <m/>
    <m/>
    <m/>
    <m/>
    <m/>
    <m/>
    <m/>
    <m/>
    <s v="Sí"/>
  </r>
  <r>
    <x v="128"/>
    <x v="128"/>
    <s v="Ranita de Los Queules"/>
    <x v="128"/>
    <x v="87"/>
    <s v="Amphibia"/>
    <x v="1"/>
    <x v="33"/>
    <m/>
    <m/>
    <m/>
    <m/>
    <m/>
    <m/>
    <m/>
    <m/>
    <s v="Sí"/>
  </r>
  <r>
    <x v="129"/>
    <x v="129"/>
    <s v="Cochinilla de fieltro (genérico)"/>
    <x v="129"/>
    <x v="88"/>
    <s v="Insecta"/>
    <x v="1"/>
    <x v="33"/>
    <m/>
    <m/>
    <m/>
    <m/>
    <m/>
    <m/>
    <m/>
    <m/>
    <s v="Sí"/>
  </r>
  <r>
    <x v="130"/>
    <x v="130"/>
    <s v="Cernícalo de Juan Fernández"/>
    <x v="130"/>
    <x v="89"/>
    <s v="Aves"/>
    <x v="1"/>
    <x v="33"/>
    <m/>
    <m/>
    <m/>
    <m/>
    <m/>
    <m/>
    <m/>
    <m/>
    <s v="Sí"/>
  </r>
  <r>
    <x v="131"/>
    <x v="131"/>
    <s v="Caracol terrestre de Juan Fernández"/>
    <x v="131"/>
    <x v="90"/>
    <s v="Gastropoda"/>
    <x v="1"/>
    <x v="33"/>
    <m/>
    <m/>
    <m/>
    <m/>
    <m/>
    <m/>
    <m/>
    <m/>
    <s v="Sí"/>
  </r>
  <r>
    <x v="132"/>
    <x v="132"/>
    <s v="Caracol terrestre de Juan Fernández"/>
    <x v="132"/>
    <x v="90"/>
    <s v="Gastropoda"/>
    <x v="1"/>
    <x v="33"/>
    <m/>
    <m/>
    <m/>
    <m/>
    <m/>
    <m/>
    <m/>
    <m/>
    <s v="Sí"/>
  </r>
  <r>
    <x v="133"/>
    <x v="133"/>
    <s v="Caracol terrestre de Juan Fernández"/>
    <x v="133"/>
    <x v="90"/>
    <s v="Gastropoda"/>
    <x v="1"/>
    <x v="33"/>
    <m/>
    <m/>
    <m/>
    <m/>
    <m/>
    <m/>
    <m/>
    <m/>
    <s v="Sí"/>
  </r>
  <r>
    <x v="134"/>
    <x v="134"/>
    <s v="Caracol terrestre de Juan Fernández"/>
    <x v="134"/>
    <x v="90"/>
    <s v="Gastropoda"/>
    <x v="1"/>
    <x v="33"/>
    <m/>
    <m/>
    <m/>
    <m/>
    <m/>
    <m/>
    <m/>
    <m/>
    <s v="Sí"/>
  </r>
  <r>
    <x v="135"/>
    <x v="135"/>
    <s v="Caracol terrestre de Juan Fernández"/>
    <x v="135"/>
    <x v="90"/>
    <s v="Gastropoda"/>
    <x v="1"/>
    <x v="33"/>
    <m/>
    <m/>
    <m/>
    <m/>
    <m/>
    <m/>
    <m/>
    <m/>
    <s v="Sí"/>
  </r>
  <r>
    <x v="136"/>
    <x v="136"/>
    <s v="Caracol terrestre de Juan Fernández"/>
    <x v="136"/>
    <x v="90"/>
    <s v="Gastropoda"/>
    <x v="1"/>
    <x v="33"/>
    <m/>
    <m/>
    <m/>
    <m/>
    <m/>
    <m/>
    <m/>
    <m/>
    <s v="Sí"/>
  </r>
  <r>
    <x v="137"/>
    <x v="137"/>
    <s v="Caracol terrestre de Juan Fernández"/>
    <x v="137"/>
    <x v="90"/>
    <s v="Gastropoda"/>
    <x v="1"/>
    <x v="33"/>
    <m/>
    <m/>
    <m/>
    <m/>
    <m/>
    <m/>
    <m/>
    <m/>
    <s v="Sí"/>
  </r>
  <r>
    <x v="138"/>
    <x v="138"/>
    <s v="Caracol terrestre de Juan Fernández"/>
    <x v="138"/>
    <x v="90"/>
    <s v="Gastropoda"/>
    <x v="1"/>
    <x v="33"/>
    <m/>
    <m/>
    <m/>
    <m/>
    <m/>
    <m/>
    <m/>
    <m/>
    <s v="Sí"/>
  </r>
  <r>
    <x v="139"/>
    <x v="139"/>
    <s v="Caracol terrestre de Juan Fernández"/>
    <x v="139"/>
    <x v="90"/>
    <s v="Gastropoda"/>
    <x v="1"/>
    <x v="33"/>
    <m/>
    <m/>
    <m/>
    <m/>
    <m/>
    <m/>
    <m/>
    <m/>
    <s v="Sí"/>
  </r>
  <r>
    <x v="140"/>
    <x v="140"/>
    <s v="Caracol terrestre de Juan Fernández"/>
    <x v="140"/>
    <x v="90"/>
    <s v="Gastropoda"/>
    <x v="1"/>
    <x v="33"/>
    <m/>
    <m/>
    <m/>
    <m/>
    <m/>
    <m/>
    <m/>
    <m/>
    <s v="Sí"/>
  </r>
  <r>
    <x v="141"/>
    <x v="141"/>
    <s v="Caracol terrestre de Juan Fernández"/>
    <x v="141"/>
    <x v="90"/>
    <s v="Gastropoda"/>
    <x v="1"/>
    <x v="33"/>
    <m/>
    <m/>
    <m/>
    <m/>
    <m/>
    <m/>
    <m/>
    <m/>
    <s v="Sí"/>
  </r>
  <r>
    <x v="142"/>
    <x v="142"/>
    <s v="Caracol terrestre de Juan Fernández"/>
    <x v="142"/>
    <x v="90"/>
    <s v="Gastropoda"/>
    <x v="1"/>
    <x v="33"/>
    <m/>
    <m/>
    <m/>
    <m/>
    <m/>
    <m/>
    <m/>
    <m/>
    <s v="Sí"/>
  </r>
  <r>
    <x v="143"/>
    <x v="143"/>
    <s v="Puye"/>
    <x v="143"/>
    <x v="91"/>
    <s v="Actinopterygii"/>
    <x v="2"/>
    <x v="33"/>
    <m/>
    <m/>
    <m/>
    <m/>
    <m/>
    <m/>
    <m/>
    <m/>
    <s v="Sí"/>
  </r>
  <r>
    <x v="144"/>
    <x v="144"/>
    <s v="Vaquita del desierto de Paposo"/>
    <x v="144"/>
    <x v="92"/>
    <s v="Insecta"/>
    <x v="1"/>
    <x v="33"/>
    <m/>
    <m/>
    <m/>
    <m/>
    <m/>
    <m/>
    <m/>
    <m/>
    <s v="Sí"/>
  </r>
  <r>
    <x v="145"/>
    <x v="145"/>
    <s v="Caracol"/>
    <x v="145"/>
    <x v="6"/>
    <s v="Gastropoda"/>
    <x v="1"/>
    <x v="33"/>
    <m/>
    <m/>
    <m/>
    <m/>
    <m/>
    <m/>
    <m/>
    <m/>
    <s v="Sí"/>
  </r>
  <r>
    <x v="146"/>
    <x v="146"/>
    <s v="No conocido"/>
    <x v="146"/>
    <x v="93"/>
    <s v="Insecta"/>
    <x v="1"/>
    <x v="33"/>
    <m/>
    <m/>
    <m/>
    <m/>
    <m/>
    <m/>
    <m/>
    <m/>
    <s v="Sí"/>
  </r>
  <r>
    <x v="147"/>
    <x v="147"/>
    <s v="Tarántula enana de penacho amarillo"/>
    <x v="147"/>
    <x v="94"/>
    <s v="Arachnida"/>
    <x v="1"/>
    <x v="33"/>
    <m/>
    <m/>
    <m/>
    <m/>
    <m/>
    <m/>
    <m/>
    <m/>
    <s v="Sí"/>
  </r>
  <r>
    <x v="148"/>
    <x v="148"/>
    <s v="Sapo "/>
    <x v="148"/>
    <x v="46"/>
    <s v="Amphibia"/>
    <x v="2"/>
    <x v="33"/>
    <m/>
    <m/>
    <m/>
    <m/>
    <m/>
    <m/>
    <m/>
    <m/>
    <s v="Sí"/>
  </r>
  <r>
    <x v="149"/>
    <x v="149"/>
    <s v="Mosca colibrí enana"/>
    <x v="149"/>
    <x v="95"/>
    <s v="Insecta"/>
    <x v="1"/>
    <x v="33"/>
    <m/>
    <m/>
    <m/>
    <m/>
    <m/>
    <m/>
    <m/>
    <m/>
    <s v="Sí"/>
  </r>
  <r>
    <x v="150"/>
    <x v="150"/>
    <s v="Lagartija de Bürger"/>
    <x v="150"/>
    <x v="96"/>
    <s v="Reptilia"/>
    <x v="1"/>
    <x v="33"/>
    <m/>
    <m/>
    <m/>
    <m/>
    <m/>
    <m/>
    <m/>
    <m/>
    <s v="Sí"/>
  </r>
  <r>
    <x v="151"/>
    <x v="151"/>
    <s v="Lagartija de Garín"/>
    <x v="151"/>
    <x v="97"/>
    <s v="Reptilia"/>
    <x v="1"/>
    <x v="33"/>
    <m/>
    <m/>
    <m/>
    <m/>
    <m/>
    <m/>
    <m/>
    <m/>
    <s v="Sí"/>
  </r>
  <r>
    <x v="152"/>
    <x v="152"/>
    <s v="Lagarto de Chillán"/>
    <x v="152"/>
    <x v="98"/>
    <s v="Reptilia"/>
    <x v="1"/>
    <x v="33"/>
    <m/>
    <m/>
    <m/>
    <m/>
    <m/>
    <m/>
    <m/>
    <m/>
    <s v="Sí"/>
  </r>
  <r>
    <x v="153"/>
    <x v="153"/>
    <s v="Lagartija de Fabián"/>
    <x v="153"/>
    <x v="99"/>
    <s v="Reptilia"/>
    <x v="1"/>
    <x v="33"/>
    <m/>
    <m/>
    <m/>
    <m/>
    <m/>
    <m/>
    <m/>
    <m/>
    <s v="Sí"/>
  </r>
  <r>
    <x v="154"/>
    <x v="154"/>
    <s v="Lagartija de Fox"/>
    <x v="154"/>
    <x v="100"/>
    <s v="Reptilia"/>
    <x v="1"/>
    <x v="33"/>
    <m/>
    <m/>
    <m/>
    <m/>
    <m/>
    <m/>
    <m/>
    <m/>
    <s v="Sí"/>
  </r>
  <r>
    <x v="155"/>
    <x v="155"/>
    <s v="Lagartija del Cerro Cantillana"/>
    <x v="155"/>
    <x v="101"/>
    <s v="Reptilia"/>
    <x v="1"/>
    <x v="33"/>
    <m/>
    <m/>
    <m/>
    <m/>
    <m/>
    <m/>
    <m/>
    <m/>
    <s v="Sí"/>
  </r>
  <r>
    <x v="156"/>
    <x v="156"/>
    <s v="Lagartija de Leftraru"/>
    <x v="156"/>
    <x v="102"/>
    <s v="Reptilia"/>
    <x v="1"/>
    <x v="33"/>
    <m/>
    <m/>
    <m/>
    <m/>
    <m/>
    <m/>
    <m/>
    <m/>
    <s v="Sí"/>
  </r>
  <r>
    <x v="157"/>
    <x v="157"/>
    <s v="Lagarto leopardo"/>
    <x v="157"/>
    <x v="103"/>
    <s v="Reptilia"/>
    <x v="1"/>
    <x v="33"/>
    <m/>
    <m/>
    <m/>
    <m/>
    <m/>
    <m/>
    <m/>
    <m/>
    <s v="Sí"/>
  </r>
  <r>
    <x v="158"/>
    <x v="158"/>
    <s v="Lagartija de Manuel"/>
    <x v="158"/>
    <x v="104"/>
    <s v="Reptilia"/>
    <x v="1"/>
    <x v="33"/>
    <m/>
    <m/>
    <m/>
    <m/>
    <m/>
    <m/>
    <m/>
    <m/>
    <s v="Sí"/>
  </r>
  <r>
    <x v="159"/>
    <x v="159"/>
    <s v="Lagartija negro azulada"/>
    <x v="159"/>
    <x v="105"/>
    <s v="Reptilia"/>
    <x v="1"/>
    <x v="33"/>
    <m/>
    <m/>
    <m/>
    <m/>
    <m/>
    <m/>
    <m/>
    <m/>
    <s v="Sí"/>
  </r>
  <r>
    <x v="160"/>
    <x v="160"/>
    <s v="Lagarto de Poconchile"/>
    <x v="160"/>
    <x v="106"/>
    <s v="Reptilia"/>
    <x v="1"/>
    <x v="33"/>
    <m/>
    <m/>
    <m/>
    <m/>
    <m/>
    <m/>
    <m/>
    <m/>
    <s v="Sí"/>
  </r>
  <r>
    <x v="161"/>
    <x v="161"/>
    <s v="Lagarto del escorial"/>
    <x v="161"/>
    <x v="107"/>
    <s v="Reptilia"/>
    <x v="1"/>
    <x v="33"/>
    <m/>
    <m/>
    <m/>
    <m/>
    <m/>
    <m/>
    <m/>
    <m/>
    <s v="Sí"/>
  </r>
  <r>
    <x v="162"/>
    <x v="162"/>
    <s v="Lagartija pintada septentrional"/>
    <x v="162"/>
    <x v="108"/>
    <s v="Reptilia"/>
    <x v="1"/>
    <x v="33"/>
    <m/>
    <m/>
    <m/>
    <m/>
    <m/>
    <m/>
    <m/>
    <m/>
    <s v="Sí"/>
  </r>
  <r>
    <x v="163"/>
    <x v="163"/>
    <s v="Lagarto leopardo de Ubaghs"/>
    <x v="163"/>
    <x v="109"/>
    <s v="Reptilia"/>
    <x v="1"/>
    <x v="33"/>
    <m/>
    <m/>
    <m/>
    <m/>
    <m/>
    <m/>
    <m/>
    <m/>
    <s v="Sí"/>
  </r>
  <r>
    <x v="164"/>
    <x v="164"/>
    <s v="Lagartija"/>
    <x v="164"/>
    <x v="26"/>
    <s v="Reptilia"/>
    <x v="1"/>
    <x v="33"/>
    <m/>
    <m/>
    <m/>
    <m/>
    <m/>
    <m/>
    <m/>
    <m/>
    <s v="Sí"/>
  </r>
  <r>
    <x v="165"/>
    <x v="165"/>
    <s v="Pololo de Paposo"/>
    <x v="165"/>
    <x v="110"/>
    <s v="Insecta"/>
    <x v="1"/>
    <x v="33"/>
    <m/>
    <m/>
    <m/>
    <m/>
    <m/>
    <m/>
    <m/>
    <m/>
    <s v="Sí"/>
  </r>
  <r>
    <x v="166"/>
    <x v="166"/>
    <s v="Zorro de Chiloé"/>
    <x v="166"/>
    <x v="111"/>
    <s v="Mammalia"/>
    <x v="1"/>
    <x v="33"/>
    <m/>
    <m/>
    <m/>
    <m/>
    <m/>
    <m/>
    <m/>
    <m/>
    <s v="Sí"/>
  </r>
  <r>
    <x v="167"/>
    <x v="167"/>
    <s v="Camarón almeja de Huentelauquén"/>
    <x v="167"/>
    <x v="112"/>
    <s v="Branchiopoda"/>
    <x v="1"/>
    <x v="33"/>
    <m/>
    <m/>
    <m/>
    <m/>
    <m/>
    <m/>
    <m/>
    <m/>
    <s v="Sí"/>
  </r>
  <r>
    <x v="168"/>
    <x v="168"/>
    <s v="Lamprea de agua dulce"/>
    <x v="168"/>
    <x v="113"/>
    <s v="Cephalaspidomorphi"/>
    <x v="1"/>
    <x v="33"/>
    <m/>
    <m/>
    <m/>
    <m/>
    <m/>
    <m/>
    <m/>
    <m/>
    <s v="Sí"/>
  </r>
  <r>
    <x v="169"/>
    <x v="169"/>
    <s v="Bagre grande"/>
    <x v="169"/>
    <x v="114"/>
    <s v="Actinopterygii"/>
    <x v="1"/>
    <x v="33"/>
    <m/>
    <m/>
    <m/>
    <m/>
    <m/>
    <m/>
    <m/>
    <m/>
    <s v="Sí"/>
  </r>
  <r>
    <x v="170"/>
    <x v="170"/>
    <s v="No tiene"/>
    <x v="170"/>
    <x v="115"/>
    <s v="Insecta"/>
    <x v="1"/>
    <x v="33"/>
    <m/>
    <m/>
    <m/>
    <m/>
    <m/>
    <m/>
    <m/>
    <m/>
    <s v="Sí"/>
  </r>
  <r>
    <x v="171"/>
    <x v="171"/>
    <s v="Insecto joya"/>
    <x v="171"/>
    <x v="116"/>
    <s v="Insecta"/>
    <x v="1"/>
    <x v="33"/>
    <m/>
    <m/>
    <m/>
    <m/>
    <m/>
    <m/>
    <m/>
    <m/>
    <s v="Sí"/>
  </r>
  <r>
    <x v="172"/>
    <x v="172"/>
    <s v="Cucaracho negro"/>
    <x v="172"/>
    <x v="117"/>
    <s v="Insecta"/>
    <x v="1"/>
    <x v="33"/>
    <m/>
    <m/>
    <m/>
    <m/>
    <m/>
    <m/>
    <m/>
    <m/>
    <s v="Sí"/>
  </r>
  <r>
    <x v="173"/>
    <x v="173"/>
    <s v="Tenebrio de Mannerheim"/>
    <x v="173"/>
    <x v="118"/>
    <s v="Insecta"/>
    <x v="1"/>
    <x v="33"/>
    <m/>
    <m/>
    <m/>
    <m/>
    <m/>
    <m/>
    <m/>
    <m/>
    <s v="Sí"/>
  </r>
  <r>
    <x v="174"/>
    <x v="174"/>
    <s v="Oogenius castilloi"/>
    <x v="174"/>
    <x v="16"/>
    <s v="Insecta"/>
    <x v="1"/>
    <x v="33"/>
    <m/>
    <m/>
    <m/>
    <m/>
    <m/>
    <m/>
    <m/>
    <m/>
    <s v="Sí"/>
  </r>
  <r>
    <x v="175"/>
    <x v="175"/>
    <s v="Oogenius penai"/>
    <x v="175"/>
    <x v="16"/>
    <s v="Insecta"/>
    <x v="1"/>
    <x v="33"/>
    <m/>
    <m/>
    <m/>
    <m/>
    <m/>
    <m/>
    <m/>
    <m/>
    <s v="Sí"/>
  </r>
  <r>
    <x v="176"/>
    <x v="176"/>
    <s v="Karachi"/>
    <x v="176"/>
    <x v="119"/>
    <s v="Actinopterygii"/>
    <x v="1"/>
    <x v="33"/>
    <m/>
    <m/>
    <m/>
    <m/>
    <m/>
    <m/>
    <m/>
    <m/>
    <s v="Sí"/>
  </r>
  <r>
    <x v="177"/>
    <x v="177"/>
    <s v="Karachi"/>
    <x v="177"/>
    <x v="119"/>
    <s v="Actinopterygii"/>
    <x v="1"/>
    <x v="33"/>
    <m/>
    <m/>
    <m/>
    <m/>
    <m/>
    <m/>
    <m/>
    <m/>
    <s v="Sí"/>
  </r>
  <r>
    <x v="178"/>
    <x v="178"/>
    <s v="Karachi"/>
    <x v="178"/>
    <x v="119"/>
    <s v="Actinopterygii"/>
    <x v="1"/>
    <x v="33"/>
    <m/>
    <m/>
    <m/>
    <m/>
    <m/>
    <m/>
    <m/>
    <m/>
    <s v="Sí"/>
  </r>
  <r>
    <x v="179"/>
    <x v="179"/>
    <s v="Karachi"/>
    <x v="179"/>
    <x v="119"/>
    <s v="Actinopterygii"/>
    <x v="1"/>
    <x v="33"/>
    <m/>
    <m/>
    <m/>
    <m/>
    <m/>
    <m/>
    <m/>
    <m/>
    <s v="Sí"/>
  </r>
  <r>
    <x v="180"/>
    <x v="180"/>
    <s v="Gusano aterciopelado"/>
    <x v="180"/>
    <x v="120"/>
    <s v="Udeonycophora"/>
    <x v="1"/>
    <x v="33"/>
    <m/>
    <m/>
    <m/>
    <m/>
    <m/>
    <m/>
    <m/>
    <m/>
    <s v="Sí"/>
  </r>
  <r>
    <x v="181"/>
    <x v="181"/>
    <s v="Carmelita"/>
    <x v="181"/>
    <x v="121"/>
    <s v="Actinopterygii"/>
    <x v="1"/>
    <x v="33"/>
    <m/>
    <m/>
    <m/>
    <m/>
    <m/>
    <m/>
    <m/>
    <m/>
    <s v="Sí"/>
  </r>
  <r>
    <x v="182"/>
    <x v="182"/>
    <s v="Carmelita de Concepción"/>
    <x v="182"/>
    <x v="122"/>
    <s v="Actinopterygii"/>
    <x v="1"/>
    <x v="33"/>
    <m/>
    <m/>
    <m/>
    <m/>
    <m/>
    <m/>
    <m/>
    <m/>
    <s v="Sí"/>
  </r>
  <r>
    <x v="183"/>
    <x v="183"/>
    <s v="Phyllopetalia altarensis"/>
    <x v="183"/>
    <x v="16"/>
    <s v="Insecta"/>
    <x v="1"/>
    <x v="33"/>
    <m/>
    <m/>
    <m/>
    <m/>
    <m/>
    <m/>
    <m/>
    <m/>
    <s v="Sí"/>
  </r>
  <r>
    <x v="184"/>
    <x v="184"/>
    <s v="Matuasto de Bibron"/>
    <x v="184"/>
    <x v="123"/>
    <s v="Reptilia"/>
    <x v="1"/>
    <x v="33"/>
    <m/>
    <m/>
    <m/>
    <m/>
    <m/>
    <m/>
    <m/>
    <m/>
    <s v="Sí"/>
  </r>
  <r>
    <x v="185"/>
    <x v="185"/>
    <s v="Matuasto de Darwin"/>
    <x v="185"/>
    <x v="124"/>
    <s v="Reptilia"/>
    <x v="1"/>
    <x v="33"/>
    <m/>
    <m/>
    <m/>
    <m/>
    <m/>
    <m/>
    <m/>
    <m/>
    <s v="Sí"/>
  </r>
  <r>
    <x v="186"/>
    <x v="186"/>
    <s v="Matuasto"/>
    <x v="186"/>
    <x v="125"/>
    <s v="Reptilia"/>
    <x v="1"/>
    <x v="33"/>
    <m/>
    <m/>
    <m/>
    <m/>
    <m/>
    <m/>
    <m/>
    <m/>
    <s v="Sí"/>
  </r>
  <r>
    <x v="187"/>
    <x v="187"/>
    <s v="Caracol de árbol araucano"/>
    <x v="187"/>
    <x v="126"/>
    <s v="Gastropoda"/>
    <x v="1"/>
    <x v="33"/>
    <m/>
    <m/>
    <m/>
    <m/>
    <m/>
    <m/>
    <m/>
    <m/>
    <s v="Sí"/>
  </r>
  <r>
    <x v="188"/>
    <x v="188"/>
    <s v="Vaquita"/>
    <x v="188"/>
    <x v="127"/>
    <s v="Insecta"/>
    <x v="1"/>
    <x v="33"/>
    <m/>
    <m/>
    <m/>
    <m/>
    <m/>
    <m/>
    <m/>
    <m/>
    <s v="Sí"/>
  </r>
  <r>
    <x v="189"/>
    <x v="189"/>
    <s v="Vaquita del bicentenario"/>
    <x v="189"/>
    <x v="128"/>
    <s v="Insecta"/>
    <x v="1"/>
    <x v="33"/>
    <m/>
    <m/>
    <m/>
    <m/>
    <m/>
    <m/>
    <m/>
    <m/>
    <s v="Sí"/>
  </r>
  <r>
    <x v="190"/>
    <x v="190"/>
    <s v="Gruñidor de Valeria"/>
    <x v="190"/>
    <x v="129"/>
    <s v="Reptilia"/>
    <x v="1"/>
    <x v="33"/>
    <m/>
    <m/>
    <m/>
    <m/>
    <m/>
    <m/>
    <m/>
    <m/>
    <s v="Sí"/>
  </r>
  <r>
    <x v="191"/>
    <x v="191"/>
    <s v="Gruñidor de El Volcán"/>
    <x v="191"/>
    <x v="130"/>
    <s v="Reptilia"/>
    <x v="1"/>
    <x v="33"/>
    <m/>
    <m/>
    <m/>
    <m/>
    <m/>
    <m/>
    <m/>
    <m/>
    <s v="Sí"/>
  </r>
  <r>
    <x v="192"/>
    <x v="192"/>
    <s v="Fardela blanca de Juan Fernández"/>
    <x v="192"/>
    <x v="131"/>
    <s v="Aves"/>
    <x v="1"/>
    <x v="33"/>
    <m/>
    <m/>
    <m/>
    <m/>
    <m/>
    <m/>
    <m/>
    <m/>
    <s v="Sí"/>
  </r>
  <r>
    <x v="193"/>
    <x v="193"/>
    <s v="Fardela de Más Afuera"/>
    <x v="193"/>
    <x v="132"/>
    <s v="Aves"/>
    <x v="1"/>
    <x v="33"/>
    <m/>
    <m/>
    <m/>
    <m/>
    <m/>
    <m/>
    <m/>
    <m/>
    <s v="Sí"/>
  </r>
  <r>
    <x v="194"/>
    <x v="194"/>
    <s v="Caracol terrestre Ptychodon"/>
    <x v="194"/>
    <x v="133"/>
    <s v="Gastropoda"/>
    <x v="1"/>
    <x v="33"/>
    <m/>
    <m/>
    <m/>
    <m/>
    <m/>
    <m/>
    <m/>
    <m/>
    <s v="Sí"/>
  </r>
  <r>
    <x v="195"/>
    <x v="195"/>
    <s v="Caracol terrestre Ptychodon"/>
    <x v="195"/>
    <x v="133"/>
    <s v="Gastropoda"/>
    <x v="1"/>
    <x v="33"/>
    <m/>
    <m/>
    <m/>
    <m/>
    <m/>
    <m/>
    <m/>
    <m/>
    <s v="Sí"/>
  </r>
  <r>
    <x v="196"/>
    <x v="196"/>
    <s v="Scotobius planicosta"/>
    <x v="196"/>
    <x v="16"/>
    <s v="Insecta"/>
    <x v="1"/>
    <x v="33"/>
    <m/>
    <m/>
    <m/>
    <m/>
    <m/>
    <m/>
    <m/>
    <m/>
    <s v="Sí"/>
  </r>
  <r>
    <x v="197"/>
    <x v="197"/>
    <s v="Caracol terrestre Succinea"/>
    <x v="197"/>
    <x v="42"/>
    <s v="Gastropoda"/>
    <x v="1"/>
    <x v="33"/>
    <m/>
    <m/>
    <m/>
    <m/>
    <m/>
    <m/>
    <m/>
    <m/>
    <s v="Sí"/>
  </r>
  <r>
    <x v="198"/>
    <x v="198"/>
    <s v="Caracol terrestre Succinea"/>
    <x v="198"/>
    <x v="42"/>
    <s v="Gastropoda"/>
    <x v="1"/>
    <x v="33"/>
    <m/>
    <m/>
    <m/>
    <m/>
    <m/>
    <m/>
    <m/>
    <m/>
    <s v="Sí"/>
  </r>
  <r>
    <x v="199"/>
    <x v="199"/>
    <s v="Caracol terrestre Succinea"/>
    <x v="199"/>
    <x v="42"/>
    <s v="Gastropoda"/>
    <x v="1"/>
    <x v="33"/>
    <m/>
    <m/>
    <m/>
    <m/>
    <m/>
    <m/>
    <m/>
    <m/>
    <s v="Sí"/>
  </r>
  <r>
    <x v="200"/>
    <x v="200"/>
    <s v="Sapo de Pefaur"/>
    <x v="200"/>
    <x v="134"/>
    <s v="Amphibia"/>
    <x v="2"/>
    <x v="33"/>
    <m/>
    <m/>
    <m/>
    <m/>
    <m/>
    <m/>
    <m/>
    <m/>
    <s v="Sí"/>
  </r>
  <r>
    <x v="201"/>
    <x v="201"/>
    <s v="Sapo de Philippi"/>
    <x v="201"/>
    <x v="135"/>
    <s v="Amphibia"/>
    <x v="1"/>
    <x v="33"/>
    <m/>
    <m/>
    <m/>
    <m/>
    <m/>
    <m/>
    <m/>
    <m/>
    <s v="Sí"/>
  </r>
  <r>
    <x v="202"/>
    <x v="202"/>
    <s v="Sapo de Zapahuira"/>
    <x v="202"/>
    <x v="136"/>
    <s v="Amphibia"/>
    <x v="2"/>
    <x v="33"/>
    <m/>
    <m/>
    <m/>
    <m/>
    <m/>
    <m/>
    <m/>
    <m/>
    <s v="Sí"/>
  </r>
  <r>
    <x v="203"/>
    <x v="203"/>
    <s v="Rana montana de Los Queules"/>
    <x v="203"/>
    <x v="137"/>
    <s v="Amphibia"/>
    <x v="1"/>
    <x v="33"/>
    <m/>
    <m/>
    <m/>
    <m/>
    <m/>
    <m/>
    <m/>
    <m/>
    <s v="Sí"/>
  </r>
  <r>
    <x v="204"/>
    <x v="204"/>
    <s v="Sapo hermoso"/>
    <x v="204"/>
    <x v="138"/>
    <s v="Amphibia"/>
    <x v="1"/>
    <x v="33"/>
    <m/>
    <m/>
    <m/>
    <m/>
    <m/>
    <m/>
    <m/>
    <m/>
    <s v="Sí"/>
  </r>
  <r>
    <x v="205"/>
    <x v="205"/>
    <s v="Caracol terrestre Tornatellina"/>
    <x v="205"/>
    <x v="48"/>
    <s v="Gastropoda"/>
    <x v="1"/>
    <x v="33"/>
    <m/>
    <m/>
    <m/>
    <m/>
    <m/>
    <m/>
    <m/>
    <m/>
    <s v="Sí"/>
  </r>
  <r>
    <x v="206"/>
    <x v="206"/>
    <s v="Bagrecito"/>
    <x v="206"/>
    <x v="64"/>
    <s v="Actinopterygii"/>
    <x v="2"/>
    <x v="33"/>
    <m/>
    <m/>
    <m/>
    <m/>
    <m/>
    <m/>
    <m/>
    <m/>
    <s v="Sí"/>
  </r>
  <r>
    <x v="207"/>
    <x v="207"/>
    <s v="Bagrecito"/>
    <x v="207"/>
    <x v="64"/>
    <s v="Actinopterygii"/>
    <x v="2"/>
    <x v="33"/>
    <m/>
    <m/>
    <m/>
    <m/>
    <m/>
    <m/>
    <m/>
    <m/>
    <s v="Sí"/>
  </r>
  <r>
    <x v="208"/>
    <x v="208"/>
    <s v="Bagrecito"/>
    <x v="208"/>
    <x v="64"/>
    <s v="Actinopterygii"/>
    <x v="1"/>
    <x v="33"/>
    <m/>
    <m/>
    <m/>
    <m/>
    <m/>
    <m/>
    <m/>
    <m/>
    <s v="Sí"/>
  </r>
  <r>
    <x v="209"/>
    <x v="209"/>
    <s v="Bagrecito"/>
    <x v="209"/>
    <x v="64"/>
    <s v="Actinopterygii"/>
    <x v="2"/>
    <x v="33"/>
    <m/>
    <m/>
    <m/>
    <m/>
    <m/>
    <m/>
    <m/>
    <m/>
    <s v="Sí"/>
  </r>
  <r>
    <x v="210"/>
    <x v="210"/>
    <s v="Langosta de Ureta"/>
    <x v="210"/>
    <x v="139"/>
    <s v="Insecta"/>
    <x v="1"/>
    <x v="33"/>
    <m/>
    <m/>
    <m/>
    <m/>
    <m/>
    <m/>
    <m/>
    <m/>
    <s v="Sí"/>
  </r>
  <r>
    <x v="211"/>
    <x v="211"/>
    <s v="Mosca florícola valdiviana gigante"/>
    <x v="211"/>
    <x v="140"/>
    <s v="Insecta"/>
    <x v="1"/>
    <x v="33"/>
    <m/>
    <m/>
    <m/>
    <m/>
    <m/>
    <m/>
    <m/>
    <m/>
    <s v="Sí"/>
  </r>
  <r>
    <x v="212"/>
    <x v="212"/>
    <s v="Camarón"/>
    <x v="212"/>
    <x v="141"/>
    <s v="Malacostraca"/>
    <x v="1"/>
    <x v="33"/>
    <m/>
    <m/>
    <m/>
    <m/>
    <m/>
    <m/>
    <m/>
    <m/>
    <s v="Sí"/>
  </r>
  <r>
    <x v="213"/>
    <x v="213"/>
    <s v="huemul"/>
    <x v="213"/>
    <x v="142"/>
    <s v="Mammalia"/>
    <x v="1"/>
    <x v="31"/>
    <s v="Pontificia Universidad Católica de Chile"/>
    <s v="https://biologia.uc.cl/1000-genomas-el-proyecto-que-busca-construir-el-inventario-mas-completo-de-la-biodiversidad-de-chile/"/>
    <n v="1"/>
    <n v="1"/>
    <s v="Nacional"/>
    <n v="0"/>
    <s v="Científico / Educativo"/>
    <n v="0"/>
    <s v="No"/>
  </r>
  <r>
    <x v="213"/>
    <x v="213"/>
    <s v="huemul"/>
    <x v="213"/>
    <x v="142"/>
    <s v="Mammalia"/>
    <x v="1"/>
    <x v="32"/>
    <s v="EL PAÍS"/>
    <s v="https://elpais.com/chile/2025-10-20/chile-levanta-el-mayor-registro-genetico-de-su-biodiversidad.html"/>
    <n v="0"/>
    <n v="1"/>
    <s v="Nacional"/>
    <n v="0"/>
    <s v="Científico / Educativo"/>
    <n v="0"/>
    <s v="No"/>
  </r>
  <r>
    <x v="213"/>
    <x v="213"/>
    <s v="huemul"/>
    <x v="213"/>
    <x v="142"/>
    <s v="Mammalia"/>
    <x v="1"/>
    <x v="34"/>
    <s v="ELPINGUINO.COM"/>
    <s v="https://www.elpinguino.com/noticia/2026/02/16/el-pinguino-de-humboldt-es-declarado-monumento-natural-de-chile"/>
    <n v="1"/>
    <n v="1"/>
    <s v="Nacional"/>
    <n v="0"/>
    <s v="Conservación / Positivo"/>
    <n v="0"/>
    <s v="No"/>
  </r>
  <r>
    <x v="213"/>
    <x v="213"/>
    <s v="huemul"/>
    <x v="213"/>
    <x v="142"/>
    <s v="Mammalia"/>
    <x v="1"/>
    <x v="35"/>
    <s v="Universidad Austral de Chile"/>
    <s v="https://diario.uach.cl/dispersion-forzada-y-ausencia-de-planificacion-metapoblacional-en-la-conservacion-del-huemul/"/>
    <n v="1"/>
    <n v="1"/>
    <s v=" Nacional"/>
    <n v="1"/>
    <s v=" Denuncia/Conflicto"/>
    <n v="1"/>
    <s v="No"/>
  </r>
  <r>
    <x v="213"/>
    <x v="213"/>
    <s v="huemul"/>
    <x v="213"/>
    <x v="142"/>
    <s v="Mammalia"/>
    <x v="1"/>
    <x v="36"/>
    <s v="Diario Sostenible"/>
    <s v="https://www.diariosostenible.cl/noticia/actualidad/2026/03/senda-del-huemul-2026-refuerza-compromiso-por-la-conservacion-en-parque-cerro-castillo"/>
    <n v="1"/>
    <n v="1"/>
    <s v=" Nacional"/>
    <n v="1"/>
    <s v=" Conservación/Positivo"/>
    <n v="1"/>
    <s v="No"/>
  </r>
  <r>
    <x v="213"/>
    <x v="213"/>
    <s v="huemul"/>
    <x v="213"/>
    <x v="142"/>
    <s v="Mammalia"/>
    <x v="1"/>
    <x v="37"/>
    <s v="El Mostrador"/>
    <s v="https://www.elmostrador.cl/agenda-pais/agenda-sustentable/2025/10/27/inaugura-primer-centro-de-rescate-del-huemul-del-sur-para-proteger-al-ciervo-mas-austral-del-mundo/"/>
    <n v="1"/>
    <n v="1"/>
    <s v=" Nacional"/>
    <n v="1"/>
    <s v=" Conservación/Positivo"/>
    <n v="1"/>
    <s v="No"/>
  </r>
  <r>
    <x v="213"/>
    <x v="213"/>
    <s v="huemul"/>
    <x v="213"/>
    <x v="142"/>
    <s v="Mammalia"/>
    <x v="1"/>
    <x v="36"/>
    <s v="Diario Regional Aysén"/>
    <s v="https://www.diarioregionalaysen.cl/noticia/diario-sostenible/2026/03/senda-del-huemul-2026-refuerza-compromiso-por-la-conservacion-en-parque-cerro-castillo"/>
    <n v="1"/>
    <n v="1"/>
    <s v=" Nacional"/>
    <n v="1"/>
    <s v=" Conservación/Positivo"/>
    <n v="1"/>
    <s v="No"/>
  </r>
  <r>
    <x v="213"/>
    <x v="213"/>
    <s v="huemul"/>
    <x v="213"/>
    <x v="142"/>
    <s v="Mammalia"/>
    <x v="1"/>
    <x v="38"/>
    <s v="La Discusión"/>
    <s v="https://ladiscusion.cl/desarrollo-productivo-y-proteccion-del-huemul-marcan-cierre-de-programas-fic-en-la-reserva-de-la-biosfera/"/>
    <n v="1"/>
    <n v="1"/>
    <s v=" Nacional"/>
    <n v="1"/>
    <s v=" Conservación/Positivo"/>
    <n v="1"/>
    <s v="No"/>
  </r>
  <r>
    <x v="214"/>
    <x v="214"/>
    <s v="ranita de Darwin"/>
    <x v="214"/>
    <x v="143"/>
    <s v="Amphibia"/>
    <x v="1"/>
    <x v="30"/>
    <s v="El Mostrador"/>
    <s v="https://www.elmostrador.cl/agenda-pais/agenda-sustentable/2026/01/09/revelan-como-el-hongo-quitrido-se-propaga-y-empuja-a-la-ranita-de-darwin-a-la-extincion-en-chile/"/>
    <n v="1"/>
    <n v="1"/>
    <s v="Nacional"/>
    <n v="1"/>
    <s v="Conservación / Positivo"/>
    <n v="1"/>
    <s v="No"/>
  </r>
  <r>
    <x v="214"/>
    <x v="214"/>
    <s v="ranita de Darwin"/>
    <x v="214"/>
    <x v="143"/>
    <s v="Amphibia"/>
    <x v="1"/>
    <x v="28"/>
    <s v="Interferencia |"/>
    <s v="https://interferencia.cl/articulos/contra-ranita-de-darwin-pinguino-de-humboldt-y-areas-protegidas-kast-defiende-retiro-de-43"/>
    <n v="0"/>
    <n v="1"/>
    <s v="Nacional"/>
    <n v="1"/>
    <s v="Denuncia / Conflicto"/>
    <n v="1"/>
    <s v="No"/>
  </r>
  <r>
    <x v="214"/>
    <x v="214"/>
    <s v="ranita de Darwin"/>
    <x v="214"/>
    <x v="143"/>
    <s v="Amphibia"/>
    <x v="1"/>
    <x v="30"/>
    <s v="El Mostrador"/>
    <s v="https://www.elmostrador.cl/agenda-pais/agenda-sustentable/2026/01/09/revelan-como-el-hongo-quitrido-se-propaga-y-empuja-a-la-ranita-de-darwin-a-la-extincion-en-chile/"/>
    <n v="0"/>
    <n v="1"/>
    <s v="Nacional"/>
    <n v="1"/>
    <s v="Científico / Educativo"/>
    <n v="1"/>
    <s v="No"/>
  </r>
  <r>
    <x v="214"/>
    <x v="214"/>
    <s v="ranita de Darwin"/>
    <x v="214"/>
    <x v="143"/>
    <s v="Amphibia"/>
    <x v="1"/>
    <x v="39"/>
    <s v="Universidad de Chile"/>
    <s v="https://radio.uchile.cl/2026/03/19/oceana-los-pinguinos-de-humboldt-estan-en-peligro-no-tienen-el-mismo-tiempo-que-los-gobiernos/"/>
    <n v="1"/>
    <n v="1"/>
    <s v="Nacional"/>
    <n v="1"/>
    <s v="Conservación / Positivo"/>
    <n v="0"/>
    <s v="No"/>
  </r>
  <r>
    <x v="214"/>
    <x v="214"/>
    <s v="ranita de Darwin"/>
    <x v="214"/>
    <x v="143"/>
    <s v="Amphibia"/>
    <x v="1"/>
    <x v="27"/>
    <s v="El Ovallino"/>
    <s v="https://www.elovallino.cl/retiran-decreto-que-protegia-al-pinguino-de-humboldt/"/>
    <n v="0"/>
    <n v="1"/>
    <s v="Nacional"/>
    <n v="1"/>
    <s v="Denuncia / Conflicto"/>
    <n v="0"/>
    <s v="No"/>
  </r>
  <r>
    <x v="214"/>
    <x v="214"/>
    <s v="ranita de Darwin"/>
    <x v="214"/>
    <x v="143"/>
    <s v="Amphibia"/>
    <x v="1"/>
    <x v="40"/>
    <s v="Publimetro"/>
    <s v="https://www.publimetro.cl/noticias/2026/03/17/sin-proteccion-ranita-de-darwin-y-pinguino-de-humboldt-las-dos-especies-iconicas-de-chile-en-medio-del-debate-ambiental/"/>
    <n v="1"/>
    <n v="1"/>
    <s v="Nacional"/>
    <n v="1"/>
    <s v="Denuncia / Conflicto"/>
    <n v="0"/>
    <s v="No"/>
  </r>
  <r>
    <x v="214"/>
    <x v="214"/>
    <s v="ranita de Darwin"/>
    <x v="214"/>
    <x v="143"/>
    <s v="Amphibia"/>
    <x v="1"/>
    <x v="41"/>
    <s v="El Dínamo"/>
    <s v="https://www.eldinamo.cl/sociedad/medio-ambiente/2026/03/17/proteccion-del-pinguino-de-humboldt-y-descontaminacion-del-lago-villarrica-las-razones-del-ejecutivo-para-retirar-43-decretos-ambientales/"/>
    <n v="1"/>
    <n v="1"/>
    <s v="Nacional"/>
    <n v="1"/>
    <s v="Denuncia/Conflicto"/>
    <n v="0"/>
    <s v="No"/>
  </r>
  <r>
    <x v="214"/>
    <x v="214"/>
    <s v="ranita de Darwin"/>
    <x v="214"/>
    <x v="143"/>
    <s v="Amphibia"/>
    <x v="1"/>
    <x v="42"/>
    <s v="The Clinic"/>
    <s v="https://www.theclinic.cl/2026/03/17/gobierno-retira-mas-de-40-decretos-ambientales-que-creaban-parques-nacionales-y-otorgaban-proteccion-a-la-ranita-de-darwin-y-el-pinguino-de-humboldt/"/>
    <n v="1"/>
    <n v="1"/>
    <s v="Nacional"/>
    <n v="1"/>
    <s v="Denuncia/Conflicto"/>
    <n v="0"/>
    <s v="No"/>
  </r>
  <r>
    <x v="214"/>
    <x v="214"/>
    <s v="ranita de Darwin"/>
    <x v="214"/>
    <x v="143"/>
    <s v="Amphibia"/>
    <x v="1"/>
    <x v="43"/>
    <s v="El Desconcierto"/>
    <s v="https://eldesconcierto.cl/2026/03/20/pinguino-de-humboldt-y-ranita-de-darwin-revisa-el-estado-actual-de-los-43-decretos-ambientales-retirados-por-kast"/>
    <n v="1"/>
    <n v="1"/>
    <s v="Nacional"/>
    <n v="1"/>
    <s v="Conservación/Positivo"/>
    <n v="0"/>
    <s v="No"/>
  </r>
  <r>
    <x v="214"/>
    <x v="214"/>
    <s v="ranita de Darwin"/>
    <x v="214"/>
    <x v="143"/>
    <s v="Amphibia"/>
    <x v="1"/>
    <x v="44"/>
    <s v="Radio Canal 95"/>
    <s v="https://www.canal95.cl/nacional/debate-ambiental-chile-ranita-darwin-pinguino-humboldt-riesgo"/>
    <n v="1"/>
    <n v="1"/>
    <s v="Nacional"/>
    <n v="1"/>
    <s v="Denuncia/Conflicto"/>
    <n v="0"/>
    <s v="No"/>
  </r>
  <r>
    <x v="214"/>
    <x v="214"/>
    <s v="ranita de Darwin"/>
    <x v="214"/>
    <x v="143"/>
    <s v="Amphibia"/>
    <x v="1"/>
    <x v="18"/>
    <s v="Meganoticias"/>
    <s v="https://www.meganoticias.cl/nacional/517253-gobierno-retira-mas-de-40-decretos-ambientales-proteccion-ranita-de-darwin-pinguino-de-humboldt-17-3-2026.html"/>
    <n v="1"/>
    <n v="1"/>
    <s v=" Nacional"/>
    <n v="1"/>
    <s v=" Denuncia/Conflicto"/>
    <n v="0"/>
    <s v="No"/>
  </r>
  <r>
    <x v="214"/>
    <x v="214"/>
    <s v="ranita de Darwin"/>
    <x v="214"/>
    <x v="143"/>
    <s v="Amphibia"/>
    <x v="1"/>
    <x v="45"/>
    <s v="Publimetro"/>
    <s v="https://www.publimetro.cl/social/2026/03/18/desde-hoy-en-adelante-no-usare-desodorante-solo-tanax-insecticida-se-vuelve-viral-por-critica-a-retiro-de-decreto-que-protegia-a-pinguino-de-humboldt-y-ranita-de-darwin/"/>
    <n v="1"/>
    <n v="1"/>
    <s v=" Nacional"/>
    <n v="1"/>
    <s v=" Denuncia/Conflicto"/>
    <n v="0"/>
    <s v="No"/>
  </r>
  <r>
    <x v="214"/>
    <x v="214"/>
    <s v="ranita de Darwin"/>
    <x v="214"/>
    <x v="143"/>
    <s v="Amphibia"/>
    <x v="1"/>
    <x v="19"/>
    <s v="EL PAÍS"/>
    <s v="https://elpais.com/chile/2026-02-23/la-ranita-descubierta-por-charles-darwin-en-chile-busca-salvarse-de-la-extincion.html"/>
    <n v="1"/>
    <n v="1"/>
    <s v=" Nacional"/>
    <n v="1"/>
    <s v=" Conservación/Positivo"/>
    <n v="1"/>
    <s v="No"/>
  </r>
  <r>
    <x v="214"/>
    <x v="214"/>
    <s v="ranita de Darwin"/>
    <x v="214"/>
    <x v="143"/>
    <s v="Amphibia"/>
    <x v="1"/>
    <x v="20"/>
    <s v="Noticias UNAB"/>
    <s v="https://noticias.unab.cl/investigacion-con-sello-unab-revela-como-un-hongo-letal-amenaza-la-supervivencia-de-la-ranita-de-darwin/"/>
    <n v="0"/>
    <n v="1"/>
    <s v=" Nacional"/>
    <n v="1"/>
    <s v=" Científico/Educativo"/>
    <n v="1"/>
    <s v="No"/>
  </r>
  <r>
    <x v="214"/>
    <x v="214"/>
    <s v="ranita de Darwin"/>
    <x v="214"/>
    <x v="143"/>
    <s v="Amphibia"/>
    <x v="1"/>
    <x v="46"/>
    <s v="Cooperativa Ciencia"/>
    <s v="https://www.cooperativaciencia.cl/radiociencia/2026/03/20/ranita-de-darwin-la-increible-historia-de-su-viaje-a-londres-para-salvarlas-de-una-epidemia-en-2024/"/>
    <n v="1"/>
    <n v="1"/>
    <s v=" Nacional"/>
    <n v="1"/>
    <s v=" Conservación/Positivo"/>
    <n v="0"/>
    <s v="No"/>
  </r>
  <r>
    <x v="214"/>
    <x v="214"/>
    <s v="ranita de Darwin"/>
    <x v="214"/>
    <x v="143"/>
    <s v="Amphibia"/>
    <x v="1"/>
    <x v="21"/>
    <s v="BioBioChile"/>
    <s v="https://www.biobiochile.cl/noticias/ciencia-y-tecnologia/ciencia/2026/01/08/dilucidan-como-una-enfermedad-esta-extinguiendo-a-la-ranita-de-darwin-ya-mato-a-su-especie-hermana.shtml"/>
    <n v="0"/>
    <n v="1"/>
    <s v=" Nacional"/>
    <n v="1"/>
    <s v=" Científico/Educativo"/>
    <n v="1"/>
    <s v="No"/>
  </r>
  <r>
    <x v="214"/>
    <x v="214"/>
    <s v="ranita de Darwin"/>
    <x v="214"/>
    <x v="143"/>
    <s v="Amphibia"/>
    <x v="1"/>
    <x v="47"/>
    <s v="El Desconcierto"/>
    <s v="https://eldesconcierto.cl/2026/02/21/descubren-nueva-poblacion-de-ranita-de-darwin-en-zona-amenazada-por-construccion-de-carretera-electrica-en-chiloe"/>
    <n v="0"/>
    <n v="1"/>
    <s v=" Nacional"/>
    <n v="1"/>
    <s v=" Denuncia/Conflicto"/>
    <n v="1"/>
    <s v="No"/>
  </r>
  <r>
    <x v="214"/>
    <x v="214"/>
    <s v="ranita de Darwin"/>
    <x v="214"/>
    <x v="143"/>
    <s v="Amphibia"/>
    <x v="1"/>
    <x v="22"/>
    <s v="24horas"/>
    <s v="https://www.24horas.cl/conciencia-24-7/ciencia/cientifico-chileno-estudio-extincion-ranita-darwin"/>
    <n v="0"/>
    <n v="1"/>
    <s v=" Nacional"/>
    <n v="1"/>
    <s v=" Científico/Educativo"/>
    <n v="1"/>
    <s v="No"/>
  </r>
  <r>
    <x v="214"/>
    <x v="214"/>
    <s v="ranita de Darwin"/>
    <x v="214"/>
    <x v="143"/>
    <s v="Amphibia"/>
    <x v="1"/>
    <x v="23"/>
    <s v="Cooperativa.cl"/>
    <s v="https://www.cooperativa.cl/noticias/sociedad/fauna/alianza-internacional-en-huilo-huilo-busca-proteger-a-la-ranita-de/2026-02-06/124716.html"/>
    <n v="0"/>
    <n v="1"/>
    <s v=" Nacional"/>
    <n v="1"/>
    <s v=" Conservación/Positivo"/>
    <n v="1"/>
    <s v="No"/>
  </r>
  <r>
    <x v="214"/>
    <x v="214"/>
    <s v="ranita de Darwin"/>
    <x v="214"/>
    <x v="143"/>
    <s v="Amphibia"/>
    <x v="1"/>
    <x v="24"/>
    <s v="ADN Radio"/>
    <s v="https://www.adnradio.cl/2026/02/23/guardabosques-chilenos-y-zoologico-de-londres-buscan-salvar-a-la-ranita-de-darwin-de-la-extincion/"/>
    <n v="1"/>
    <n v="1"/>
    <s v=" Nacional"/>
    <n v="1"/>
    <s v=" Conservación/Positivo"/>
    <n v="1"/>
    <s v="No"/>
  </r>
  <r>
    <x v="214"/>
    <x v="214"/>
    <s v="ranita de Darwin"/>
    <x v="214"/>
    <x v="143"/>
    <s v="Amphibia"/>
    <x v="1"/>
    <x v="25"/>
    <s v="Cooperativa Ciencia"/>
    <s v="https://www.cooperativaciencia.cl/medio-ambiente/2026/01/02/cientifico-chileno-lidera-estudio-que-revela-como-un-hongo-letal-esta-extinguiendo-a-la-ranita-de-darwin/"/>
    <n v="1"/>
    <n v="1"/>
    <s v=" Nacional"/>
    <n v="1"/>
    <s v=" Científico/Educativo"/>
    <n v="1"/>
    <s v="No"/>
  </r>
  <r>
    <x v="214"/>
    <x v="214"/>
    <s v="ranita de Darwin"/>
    <x v="214"/>
    <x v="143"/>
    <s v="Amphibia"/>
    <x v="1"/>
    <x v="26"/>
    <s v="BioBioChile"/>
    <s v="https://www.biobiochile.cl/noticias/ciencia-y-tecnologia/ciencia/2026/01/26/investigacion-chilena-descubre-como-un-hongo-invasivo-provoca-epidemias-letales-en-anfibios-terrestres.shtml"/>
    <n v="0"/>
    <n v="1"/>
    <s v=" Nacional"/>
    <n v="1"/>
    <s v=" Científico/Educativo"/>
    <n v="1"/>
    <s v="No"/>
  </r>
  <r>
    <x v="214"/>
    <x v="214"/>
    <s v="ranita de Darwin"/>
    <x v="214"/>
    <x v="143"/>
    <s v="Amphibia"/>
    <x v="1"/>
    <x v="48"/>
    <s v="Cooperativa Ciencia"/>
    <s v="https://www.cooperativaciencia.cl/medio-ambiente/2026/02/05/alianza-en-la-reserva-biologica-huilo-huilo-busca-proteger-a-la-ranita-de-darwin-de-la-extincion/"/>
    <n v="1"/>
    <n v="1"/>
    <s v=" Nacional"/>
    <n v="1"/>
    <s v=" Conservación/Positivo"/>
    <n v="1"/>
    <s v="No"/>
  </r>
  <r>
    <x v="214"/>
    <x v="214"/>
    <s v="ranita de Darwin"/>
    <x v="214"/>
    <x v="143"/>
    <s v="Amphibia"/>
    <x v="1"/>
    <x v="49"/>
    <s v="Cooperativa Ciencia"/>
    <s v="https://www.cooperativaciencia.cl/medio-ambiente/2025/09/25/descubren-nueva-poblacion-de-ranita-de-darwin-en-villarrica/"/>
    <n v="1"/>
    <n v="1"/>
    <s v=" Nacional"/>
    <n v="1"/>
    <s v=" Conservación/Positivo"/>
    <n v="1"/>
    <s v="No"/>
  </r>
  <r>
    <x v="215"/>
    <x v="215"/>
    <s v="pingüino de Humboldt"/>
    <x v="215"/>
    <x v="144"/>
    <s v="Aves"/>
    <x v="1"/>
    <x v="50"/>
    <s v="dw.com"/>
    <s v="https://www.dw.com/es/chile-nuevo-gobierno-frena-protecci%C3%B3n-del-ping%C3%BCino-de-humboldt/a-76420241"/>
    <n v="0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16"/>
    <s v="El Desconcierto"/>
    <s v="https://eldesconcierto.cl/2025/10/18/ministra-rojas-expone-dramatico-estado-del-pinguino-de-humboldt-lagarto-grunidor-y-otras-70-especies"/>
    <n v="0"/>
    <n v="1"/>
    <s v="Nacional"/>
    <n v="1"/>
    <s v="Alarma / Crisis"/>
    <n v="1"/>
    <s v="No"/>
  </r>
  <r>
    <x v="215"/>
    <x v="215"/>
    <s v="pingüino de Humboldt"/>
    <x v="215"/>
    <x v="144"/>
    <s v="Aves"/>
    <x v="1"/>
    <x v="4"/>
    <s v="Diario Sustentable"/>
    <s v="https://www.diariosustentable.com/2025/10/pinguino-de-humboldt-lagarto-grunidor-y-plantas-endemicas-de-juan-fernandez-aumentan-su-riesgo-de-extincion-en-chile/"/>
    <n v="0"/>
    <n v="1"/>
    <s v="Nacional"/>
    <n v="1"/>
    <s v="Alarma / Crisis"/>
    <n v="1"/>
    <s v="No"/>
  </r>
  <r>
    <x v="215"/>
    <x v="215"/>
    <s v="pingüino de Humboldt"/>
    <x v="215"/>
    <x v="144"/>
    <s v="Aves"/>
    <x v="1"/>
    <x v="3"/>
    <s v="El Mostrador"/>
    <s v="https://www.elmostrador.cl/agenda-pais/agenda-sustentable/2025/10/28/especies-en-riesgo-pinguino-de-humboldt-lagarto-de-alvaro-y-plantas-de-juan-fernandez-en-alerta/"/>
    <n v="0"/>
    <n v="1"/>
    <s v="Nacional"/>
    <n v="1"/>
    <s v="Alarma / Crisis"/>
    <n v="1"/>
    <s v="No"/>
  </r>
  <r>
    <x v="215"/>
    <x v="215"/>
    <s v="pingüino de Humboldt"/>
    <x v="215"/>
    <x v="144"/>
    <s v="Aves"/>
    <x v="1"/>
    <x v="51"/>
    <s v="MMA – Ministerio del Medio Ambiente"/>
    <s v="https://mma.gob.cl/consejo-de-ministros-declara-al-pinguino-de-humboldt-como-monumento-natural-para-aumentar-su-proteccion/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52"/>
    <s v="nationalgeographicla.com"/>
    <s v="https://www.nationalgeographicla.com/animales/2026/01/bucea-como-un-profesional-pero-tiene-el-corazon-fragil-los-4-datos-sobre-el-pinguino-de-humboldt"/>
    <n v="1"/>
    <n v="1"/>
    <s v="Internacional"/>
    <n v="1"/>
    <s v="Científico / Educativo"/>
    <n v="1"/>
    <s v="No"/>
  </r>
  <r>
    <x v="215"/>
    <x v="215"/>
    <s v="pingüino de Humboldt"/>
    <x v="215"/>
    <x v="144"/>
    <s v="Aves"/>
    <x v="1"/>
    <x v="53"/>
    <s v="greenpeace.org"/>
    <s v="https://www.greenpeace.org/chile/noticia/issues/oceanos/pinguino-de-humboldt-en-peligro-de-extincion-el-80-de-la-poblacion-mundial-de-esta-especie-habita-en-chile/"/>
    <n v="0"/>
    <n v="1"/>
    <s v="Nacional"/>
    <n v="1"/>
    <s v="Alarma / Crisis"/>
    <n v="1"/>
    <s v="No"/>
  </r>
  <r>
    <x v="215"/>
    <x v="215"/>
    <s v="pingüino de Humboldt"/>
    <x v="215"/>
    <x v="144"/>
    <s v="Aves"/>
    <x v="1"/>
    <x v="54"/>
    <s v="ELPINGUINO.COM"/>
    <s v="https://elpinguino.com/noticia/2026/01/23/chile-inicia-proceso-para-declarar-monumento-natural-al-pinguino-de-humboldt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55"/>
    <s v="Ladera Sur"/>
    <s v="https://laderasur.com/articulo/reactivan-permiso-ambiental-de-dominga-mientras-crece-incertidumbre-por-proteccion-del-pinguino-de-humboldt/"/>
    <n v="1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56"/>
    <s v="Universidad de Chile"/>
    <s v="https://radio.uchile.cl/2026/02/14/declaran-al-pinguino-de-humboldt-como-monumento-natural-de-especie-en-todo-chile/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57"/>
    <s v="Identidad y Futuro"/>
    <s v="https://identidadyfuturo.cl/2026/03/12/pinguino-de-humboldt-monumento-natural-chile/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58"/>
    <s v="Noticias UdeC"/>
    <s v="https://noticias.udec.cl/especialistas-udec-analizan-impacto-ambiental-que-pone-en-riesgo-al-pinguino-de-humboldt/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59"/>
    <s v="Chile Travel"/>
    <s v="https://chile.travel/blog/uno-de-los-ultimos-refugios-del-pinguino-de-humboldt-que-debes-visitar-el-2026/"/>
    <n v="0"/>
    <n v="1"/>
    <s v="Nacional"/>
    <n v="1"/>
    <s v="Turismo / Difusión"/>
    <n v="1"/>
    <s v="No"/>
  </r>
  <r>
    <x v="215"/>
    <x v="215"/>
    <s v="pingüino de Humboldt"/>
    <x v="215"/>
    <x v="144"/>
    <s v="Aves"/>
    <x v="1"/>
    <x v="28"/>
    <s v="Interferencia |"/>
    <s v="https://interferencia.cl/articulos/contra-ranita-de-darwin-pinguino-de-humboldt-y-areas-protegidas-kast-defiende-retiro-de-43"/>
    <n v="0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34"/>
    <s v="ELPINGUINO.COM"/>
    <s v="https://www.elpinguino.com/noticia/2026/02/16/el-pinguino-de-humboldt-es-declarado-monumento-natural-de-chile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39"/>
    <s v="Universidad de Chile"/>
    <s v="https://radio.uchile.cl/2026/03/19/oceana-los-pinguinos-de-humboldt-estan-en-peligro-no-tienen-el-mismo-tiempo-que-los-gobiernos/"/>
    <n v="0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60"/>
    <s v="BioBioChile"/>
    <s v="https://www.biobiochile.cl/noticias/ciencia-y-tecnologia/medio-ambiente-cyt/2026/03/18/experto-advierte-que-pasaria-si-se-extingue-el-pinguino-de-humboldt-seria-un-tremendo-impacto.shtml"/>
    <n v="1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61"/>
    <s v="ELPINGUINO.COM"/>
    <s v="https://elpinguino.com/noticia/2025/10/24/pinguino-de-humboldt-pasa-a-en-peligro-en-chile-y-alerta-a-especialistas"/>
    <n v="1"/>
    <n v="1"/>
    <s v="Nacional"/>
    <n v="1"/>
    <s v="Alarma / Crisis"/>
    <n v="1"/>
    <s v="No"/>
  </r>
  <r>
    <x v="215"/>
    <x v="215"/>
    <s v="pingüino de Humboldt"/>
    <x v="215"/>
    <x v="144"/>
    <s v="Aves"/>
    <x v="1"/>
    <x v="62"/>
    <s v="Ladera Sur"/>
    <s v="https://laderasur.com/articulo/ultimos-dias-el-pinguino-de-humboldt-necesita-tu-ayuda-asi-puedes-apoyar-su-declaratoria-como-monumento-natural-de-chile/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63"/>
    <s v="Teletrece"/>
    <s v="https://www.t13.cl/noticia/nacional/declaran-al-pinguino-humboldt-como-monumento-natural-implica-esta-categoria-15-2-2026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64"/>
    <s v="BioBioChile"/>
    <s v="https://www.biobiochile.cl/noticias/ciencia-y-tecnologia/medio-ambiente-cyt/2026/03/17/experto-y-retiro-de-decreto-que-protegia-al-pinguino-de-humboldt-argumentos-eran-bastante-solidos.shtml"/>
    <n v="1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65"/>
    <s v="Cooperativa Ciencia"/>
    <s v="https://www.cooperativaciencia.cl/medio-ambiente/2026/01/20/pinguino-de-humboldt-el-llamado-a-proteger-a-esta-especie-en-peligro-de-conservacion/"/>
    <n v="1"/>
    <n v="1"/>
    <s v="Nacional"/>
    <n v="1"/>
    <s v="Alarma / Crisis"/>
    <n v="1"/>
    <s v="No"/>
  </r>
  <r>
    <x v="215"/>
    <x v="215"/>
    <s v="pingüino de Humboldt"/>
    <x v="215"/>
    <x v="144"/>
    <s v="Aves"/>
    <x v="1"/>
    <x v="66"/>
    <s v="El Mostrador"/>
    <s v="https://www.elmostrador.cl/agenda-pais/agenda-sustentable/2026/02/19/chile-declara-al-pinguino-de-humboldt-monumento-natural-y-refuerza-su-proteccion-en-todo-el-pais/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67"/>
    <s v="BioBioChile"/>
    <s v="https://www.biobiochile.cl/noticias/ciencia-y-tecnologia/ciencia/2025/10/23/chile-declara-oficialmente-al-pinguino-de-humboldt-en-peligro-de-extincion-se-puede-recuperar.shtml"/>
    <n v="1"/>
    <n v="1"/>
    <s v="Nacional"/>
    <n v="1"/>
    <s v="Alarma / Crisis"/>
    <n v="1"/>
    <s v="No"/>
  </r>
  <r>
    <x v="215"/>
    <x v="215"/>
    <s v="pingüino de Humboldt"/>
    <x v="215"/>
    <x v="144"/>
    <s v="Aves"/>
    <x v="1"/>
    <x v="68"/>
    <s v="BioBioChile"/>
    <s v="https://www.biobiochile.cl/noticias/ciencia-y-tecnologia/ciencia/2026/01/20/registran-por-primera-vez-un-pinguino-de-humboldt-albino-en-chile-queda-mas-expuesto-a-depredadores.shtml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69"/>
    <s v="Teletrece"/>
    <s v="https://www.t13.cl/noticia/nacional/ultimos-dias-para-apoyar-pinguino-humboldt-necesita-tu-ayuda-para-ser-monumento-29-1-2026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70"/>
    <s v="Diario Sostenible"/>
    <s v="https://www.diariosostenible.cl/noticia/premios-y-reconocimientos/2026/02/pinguino-de-humboldt-es-declarado-monumento-natural-en-chile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71"/>
    <s v="El Desconcierto"/>
    <s v="https://eldesconcierto.cl/2026/01/23/chile-abre-consulta-ciudadana-para-declarar-monumento-natural-al-pinguino-de-humboldt-como-participar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72"/>
    <s v="Canal 13"/>
    <s v="https://www.13.cl/c/programas/espacio-13c/pinguino-de-humboldt-es-declarado-monumento-natural-en-chile-que-significa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73"/>
    <s v="Ladera Sur"/>
    <s v="https://laderasur.com/articulo/pinguino-de-humboldt-en-peligro-la-nueva-clasificacion-muestra-que-debemos-tomar-acciones-para-cuidar-la-corriente-de-humboldt/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74"/>
    <s v="ADN Radio"/>
    <s v="https://www.adnradio.cl/2025/11/11/expertos-alertan-grave-disminucion-del-pinguino-de-humboldt-en-chile-quedan-menos-de-20-mil-ejemplares/"/>
    <n v="1"/>
    <n v="1"/>
    <s v="Nacional"/>
    <n v="1"/>
    <s v="Alarma / Crisis"/>
    <n v="1"/>
    <s v="No"/>
  </r>
  <r>
    <x v="215"/>
    <x v="215"/>
    <s v="pingüino de Humboldt"/>
    <x v="215"/>
    <x v="144"/>
    <s v="Aves"/>
    <x v="1"/>
    <x v="75"/>
    <s v="El Mostrador"/>
    <s v="https://www.elmostrador.cl/cultura/2026/01/22/investigacion-registro-primer-hallazgo-de-pinguino-de-humboldt-albino-en-la-region-del-biobio/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76"/>
    <s v="El Mostrador"/>
    <s v="https://www.elmostrador.cl/agenda-pais/2026/03/17/retiran-decreto-que-buscaba-declarar-monumento-natural-al-pinguino-de-humboldt/"/>
    <n v="0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77"/>
    <s v="BioBioChile"/>
    <s v="https://www.biobiochile.cl/noticias/bbcl-explica/bbcl-explica-notas/2026/03/18/tras-retiro-de-decretos-cual-es-la-importancia-del-pinguino-de-humboldt-en-el-equilibrio-del-oceano.shtml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78"/>
    <s v="G5noticias"/>
    <s v="https://g5noticias.cl/2026/03/09/el-pinguino-de-humboldt-mas-que-un-simbolo-una-urgencia-de-conservacion-por-carlos-flores-olivares-docente-investigador-de-medicina-veterinaria-universidad-del-alba/"/>
    <n v="1"/>
    <n v="1"/>
    <s v="Nacional"/>
    <n v="1"/>
    <s v="Científico / Educativo"/>
    <n v="0"/>
    <s v="No"/>
  </r>
  <r>
    <x v="215"/>
    <x v="215"/>
    <s v="pingüino de Humboldt"/>
    <x v="215"/>
    <x v="144"/>
    <s v="Aves"/>
    <x v="1"/>
    <x v="2"/>
    <s v="Cooperativa Ciencia"/>
    <s v="https://www.cooperativaciencia.cl/medio-ambiente/2025/10/20/pinguino-de-humboldt-y-especies-endemicas-en-chile-aumentan-riesgo-de-extincion/"/>
    <n v="1"/>
    <n v="1"/>
    <s v="Nacional"/>
    <n v="1"/>
    <s v="Alarma / Crisis"/>
    <n v="1"/>
    <s v="No"/>
  </r>
  <r>
    <x v="215"/>
    <x v="215"/>
    <s v="pingüino de Humboldt"/>
    <x v="215"/>
    <x v="144"/>
    <s v="Aves"/>
    <x v="1"/>
    <x v="79"/>
    <s v="elnortero.cl"/>
    <s v="https://www.elnortero.cl/noticia/sociedad/estas-son-las-mejores-partes-de-chile-donde-se-puede-ver-al-pingueino-de-humboldt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27"/>
    <s v="El Ovallino"/>
    <s v="https://www.elovallino.cl/retiran-decreto-que-protegia-al-pinguino-de-humboldt/"/>
    <n v="0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80"/>
    <s v="Meteored Chile"/>
    <s v="https://www.meteored.cl/noticias/actualidad/chile-abre-consulta-ciudadana-para-declarar-al-pinguino-de-humboldt-monumento-natural.html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81"/>
    <s v="thetimes.lat"/>
    <s v="https://thetimes.cl/contenido/9843/ultimos-dias-para-salvar-al-pinguino-de-humboldt-en-chile"/>
    <n v="1"/>
    <n v="1"/>
    <s v="Nacional"/>
    <n v="1"/>
    <s v="Conservación / Positivo"/>
    <n v="1"/>
    <s v="No"/>
  </r>
  <r>
    <x v="215"/>
    <x v="215"/>
    <s v="pingüino de Humboldt"/>
    <x v="215"/>
    <x v="144"/>
    <s v="Aves"/>
    <x v="1"/>
    <x v="82"/>
    <s v="soychile.cl"/>
    <s v="https://www.soychile.cl/santiago/tendencias/2026/01/21/937305/pinguino-humboldt-albino-costa-hualpen.html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83"/>
    <s v="BioBioChile"/>
    <s v="https://www.biobiochile.cl/noticias/ciencia-y-tecnologia/ciencia/2025/10/28/greenpeace-exige-medidas-urgentes-para-salvar-al-pinguino-de-humboldt-no-podemos-seguir-destruyendo.shtml"/>
    <n v="1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14"/>
    <s v="Futuro 360 | CNN Chile"/>
    <s v="https://futuro360.cnnchile.com/el-pinguino-de-humboldt-pasa-a-estar-en-peligro-de-extincion-y-enciende-las-alarmas-por-la-biodiversidad-en-chile"/>
    <n v="1"/>
    <n v="1"/>
    <s v="Nacional"/>
    <n v="1"/>
    <s v="Alarma / Crisis"/>
    <n v="1"/>
    <s v="No"/>
  </r>
  <r>
    <x v="215"/>
    <x v="215"/>
    <s v="pingüino de Humboldt"/>
    <x v="215"/>
    <x v="144"/>
    <s v="Aves"/>
    <x v="1"/>
    <x v="84"/>
    <s v="elciudadano.com"/>
    <s v="https://www.elciudadano.com/actualidad/por-que-fue-declarado-el-pinguino-de-humboldt-en-peligro-de-extincion-alertan-sobre-critica-situacion-en-chile-y-los-peligros-de-dominga/11/01/"/>
    <n v="1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40"/>
    <s v="Publimetro"/>
    <s v="https://www.publimetro.cl/noticias/2026/03/17/sin-proteccion-ranita-de-darwin-y-pinguino-de-humboldt-las-dos-especies-iconicas-de-chile-en-medio-del-debate-ambiental/"/>
    <n v="1"/>
    <n v="1"/>
    <s v="Nacional"/>
    <n v="1"/>
    <s v="Denuncia / Conflicto"/>
    <n v="1"/>
    <s v="No"/>
  </r>
  <r>
    <x v="215"/>
    <x v="215"/>
    <s v="pingüino de Humboldt"/>
    <x v="215"/>
    <x v="144"/>
    <s v="Aves"/>
    <x v="1"/>
    <x v="85"/>
    <s v="El Serenense"/>
    <s v="https://www.elserenense.cl/comunales/2025/11/11/la-serena-sera-sede-del-seminario-pinguino-de-humboldt-en-peligro-de-extincion/"/>
    <n v="1"/>
    <n v="1"/>
    <s v="Nacional"/>
    <n v="1"/>
    <s v="Científico / Educativo"/>
    <n v="1"/>
    <s v="No"/>
  </r>
  <r>
    <x v="215"/>
    <x v="215"/>
    <s v="pingüino de Humboldt"/>
    <x v="215"/>
    <x v="144"/>
    <s v="Aves"/>
    <x v="1"/>
    <x v="86"/>
    <s v="Diario Concepción"/>
    <s v="https://www.diarioconcepcion.cl/ciencia-y-sociedad/2026/01/30/pinguino-de-humboldt-albino-en-biobio-hallazgo-inedito-abre-retos-cientificos-y-de-conservacion.html"/>
    <n v="1"/>
    <n v="1"/>
    <s v=" Nacional"/>
    <n v="1"/>
    <s v=" Científico/Educativo"/>
    <n v="1"/>
    <s v="No"/>
  </r>
  <r>
    <x v="215"/>
    <x v="215"/>
    <s v="pingüino de Humboldt"/>
    <x v="215"/>
    <x v="144"/>
    <s v="Aves"/>
    <x v="1"/>
    <x v="87"/>
    <s v="Diario Usach"/>
    <s v="https://www.diariousach.cl/registran-por-primera-vez-en-chile-un-ejemplar-de-pinguino-de-humboldt"/>
    <n v="1"/>
    <n v="1"/>
    <s v="Nacional"/>
    <n v="1"/>
    <s v="Científico/Educativo"/>
    <n v="1"/>
    <s v="No"/>
  </r>
  <r>
    <x v="215"/>
    <x v="215"/>
    <s v="pingüino de Humboldt"/>
    <x v="215"/>
    <x v="144"/>
    <s v="Aves"/>
    <x v="1"/>
    <x v="88"/>
    <s v="El Mostrador"/>
    <s v="https://www.elmostrador.cl/agenda-pais/agenda-social/2025/11/11/pinguino-de-humboldt-en-peligro-de-extincion-la-contaminacion-y-el-cambio-climatico-lo-acorralan/"/>
    <n v="1"/>
    <n v="1"/>
    <s v="Nacional"/>
    <n v="1"/>
    <s v="Alarma/Crisis"/>
    <n v="1"/>
    <s v="No"/>
  </r>
  <r>
    <x v="215"/>
    <x v="215"/>
    <s v="pingüino de Humboldt"/>
    <x v="215"/>
    <x v="144"/>
    <s v="Aves"/>
    <x v="1"/>
    <x v="13"/>
    <s v="El Periodista"/>
    <s v="https://www.elperiodista.cl/2025/10/pinguino-de-humboldt-es-declarado-oficialmente-en-peligro-de-extincion/"/>
    <n v="1"/>
    <n v="1"/>
    <s v="Nacional"/>
    <n v="1"/>
    <s v="Alarma/Crisis"/>
    <n v="1"/>
    <s v="No"/>
  </r>
  <r>
    <x v="215"/>
    <x v="215"/>
    <s v="pingüino de Humboldt"/>
    <x v="215"/>
    <x v="144"/>
    <s v="Aves"/>
    <x v="1"/>
    <x v="89"/>
    <s v="24horas"/>
    <s v="https://www.24horas.cl/conciencia-24-7/sostenibilidad/pinguino-de-humboldt-albino-biobio"/>
    <n v="1"/>
    <n v="1"/>
    <s v="Nacional"/>
    <n v="1"/>
    <s v="Alarma/Crisis"/>
    <n v="1"/>
    <s v="No"/>
  </r>
  <r>
    <x v="215"/>
    <x v="215"/>
    <s v="pingüino de Humboldt"/>
    <x v="215"/>
    <x v="144"/>
    <s v="Aves"/>
    <x v="1"/>
    <x v="90"/>
    <s v="Radio Concierto Chile - Sólo grandes canciones"/>
    <s v="https://www.concierto.cl/2026/02/el-pinguino-de-humboldt-es-declarado-monumento-natural-y-elevan-su-nivel-de-proteccion-en-chile/"/>
    <n v="1"/>
    <n v="1"/>
    <s v="Nacional"/>
    <n v="1"/>
    <s v="Conservación/Positivo"/>
    <n v="1"/>
    <s v="No"/>
  </r>
  <r>
    <x v="215"/>
    <x v="215"/>
    <s v="pingüino de Humboldt"/>
    <x v="215"/>
    <x v="144"/>
    <s v="Aves"/>
    <x v="1"/>
    <x v="89"/>
    <s v="24horas"/>
    <s v="https://www.24horas.cl/conciencia-24-7/sostenibilidad/pinguino-de-humboldt-albino-biobio"/>
    <n v="1"/>
    <n v="1"/>
    <s v="Nacional"/>
    <n v="1"/>
    <s v="Científico/Educativo"/>
    <n v="1"/>
    <s v="No"/>
  </r>
  <r>
    <x v="215"/>
    <x v="215"/>
    <s v="pingüino de Humboldt"/>
    <x v="215"/>
    <x v="144"/>
    <s v="Aves"/>
    <x v="1"/>
    <x v="91"/>
    <s v="Sabes.cl"/>
    <s v="https://sabes.cl/2026/02/14/el-pinguino-de-humboldt-es-declarado-monumento-natural-en-chile/"/>
    <n v="1"/>
    <n v="1"/>
    <s v="Nacional"/>
    <n v="1"/>
    <s v="Conservación/Positivo"/>
    <n v="1"/>
    <s v="No"/>
  </r>
  <r>
    <x v="215"/>
    <x v="215"/>
    <s v="pingüino de Humboldt"/>
    <x v="215"/>
    <x v="144"/>
    <s v="Aves"/>
    <x v="1"/>
    <x v="92"/>
    <s v="Infogate.cl"/>
    <s v="https://infogate.cl/2026/02/wwf-chile-presento-propuestas-en-el-marco-de-la-consulta-publica-para-declarar-al-pinguino-de-humboldt-como-monumento-natural/"/>
    <n v="1"/>
    <n v="1"/>
    <s v="Nacional"/>
    <n v="1"/>
    <s v="Conservación/Positivo"/>
    <n v="1"/>
    <s v="No"/>
  </r>
  <r>
    <x v="215"/>
    <x v="215"/>
    <s v="pingüino de Humboldt"/>
    <x v="215"/>
    <x v="144"/>
    <s v="Aves"/>
    <x v="1"/>
    <x v="41"/>
    <s v="El Dínamo"/>
    <s v="https://www.eldinamo.cl/sociedad/medio-ambiente/2026/03/17/proteccion-del-pinguino-de-humboldt-y-descontaminacion-del-lago-villarrica-las-razones-del-ejecutivo-para-retirar-43-decretos-ambientales/"/>
    <n v="1"/>
    <n v="1"/>
    <s v="Nacional"/>
    <n v="1"/>
    <s v="Denuncia/Conflicto"/>
    <n v="1"/>
    <s v="No"/>
  </r>
  <r>
    <x v="215"/>
    <x v="215"/>
    <s v="pingüino de Humboldt"/>
    <x v="215"/>
    <x v="144"/>
    <s v="Aves"/>
    <x v="1"/>
    <x v="93"/>
    <s v="pudahuel.cl"/>
    <s v="https://www.pudahuel.cl/noticias/2026/02/para-aumentar-su-proteccion-el-pinguino-de-humboldt-es-declarado-monumento-nacional-en-chile/"/>
    <n v="1"/>
    <n v="1"/>
    <s v="Nacional"/>
    <n v="1"/>
    <s v="Conservación/Positivo"/>
    <n v="1"/>
    <s v="No"/>
  </r>
  <r>
    <x v="215"/>
    <x v="215"/>
    <s v="pingüino de Humboldt"/>
    <x v="215"/>
    <x v="144"/>
    <s v="Aves"/>
    <x v="1"/>
    <x v="94"/>
    <s v="El Diario de Antofagasta"/>
    <s v="https://www.diarioantofagasta.cl/el-pais/218188/ataque-y-muerte-de-pinguino-de-humboldt-reabre-urgente-llamado-a-la-tenencia-responsable-y-proteccion-de-fauna-silvestre/"/>
    <n v="1"/>
    <n v="1"/>
    <s v="Nacional"/>
    <n v="1"/>
    <s v="Conservación/Positivo"/>
    <n v="1"/>
    <s v="No"/>
  </r>
  <r>
    <x v="215"/>
    <x v="215"/>
    <s v="pingüino de Humboldt"/>
    <x v="215"/>
    <x v="144"/>
    <s v="Aves"/>
    <x v="1"/>
    <x v="95"/>
    <s v="The Clinic"/>
    <s v="https://www.theclinic.cl/2026/01/22/andaba-solo-en-el-agua-investigacion-registro-primer-hallazgo-de-pinguino-de-humboldt-albino-en-el-biobio/"/>
    <n v="1"/>
    <n v="1"/>
    <s v="Nacional"/>
    <n v="1"/>
    <s v="Científico/Educativo"/>
    <n v="1"/>
    <s v="No"/>
  </r>
  <r>
    <x v="215"/>
    <x v="215"/>
    <s v="pingüino de Humboldt"/>
    <x v="215"/>
    <x v="144"/>
    <s v="Aves"/>
    <x v="1"/>
    <x v="42"/>
    <s v="The Clinic"/>
    <s v="https://www.theclinic.cl/2026/03/17/gobierno-retira-mas-de-40-decretos-ambientales-que-creaban-parques-nacionales-y-otorgaban-proteccion-a-la-ranita-de-darwin-y-el-pinguino-de-humboldt/"/>
    <n v="1"/>
    <n v="1"/>
    <s v="Nacional"/>
    <n v="1"/>
    <s v="Denuncia/Conflicto"/>
    <n v="1"/>
    <s v="No"/>
  </r>
  <r>
    <x v="215"/>
    <x v="215"/>
    <s v="pingüino de Humboldt"/>
    <x v="215"/>
    <x v="144"/>
    <s v="Aves"/>
    <x v="1"/>
    <x v="43"/>
    <s v="El Desconcierto"/>
    <s v="https://eldesconcierto.cl/2026/03/20/pinguino-de-humboldt-y-ranita-de-darwin-revisa-el-estado-actual-de-los-43-decretos-ambientales-retirados-por-kast"/>
    <n v="1"/>
    <n v="1"/>
    <s v="Nacional"/>
    <n v="1"/>
    <s v="Denuncia/Conflicto"/>
    <n v="1"/>
    <s v="No"/>
  </r>
  <r>
    <x v="215"/>
    <x v="215"/>
    <s v="pingüino de Humboldt"/>
    <x v="215"/>
    <x v="144"/>
    <s v="Aves"/>
    <x v="1"/>
    <x v="96"/>
    <s v="VLN Radio"/>
    <s v="https://www.vlnradio.cl/noticias/actualidad/2026/02/15/pinguino-de-humboldt-es-declarado-monumento-natural-para-reforzar-su-proteccion-en-chile/"/>
    <n v="1"/>
    <n v="1"/>
    <s v="Nacional"/>
    <n v="1"/>
    <s v="Conservación/Positivo"/>
    <n v="1"/>
    <s v="No"/>
  </r>
  <r>
    <x v="215"/>
    <x v="215"/>
    <s v="pingüino de Humboldt"/>
    <x v="215"/>
    <x v="144"/>
    <s v="Aves"/>
    <x v="1"/>
    <x v="97"/>
    <s v="Radio Ñuble"/>
    <s v="https://radionuble.cl/v1/2025/10/23/chile-declara-oficialmente-al-pinguino-de-humboldt-en-peligro-de-extincion/"/>
    <n v="1"/>
    <n v="1"/>
    <s v="Nacional"/>
    <n v="1"/>
    <s v="Alarma/Crisis"/>
    <n v="1"/>
    <s v="No"/>
  </r>
  <r>
    <x v="215"/>
    <x v="215"/>
    <s v="pingüino de Humboldt"/>
    <x v="215"/>
    <x v="144"/>
    <s v="Aves"/>
    <x v="1"/>
    <x v="44"/>
    <s v="Radio Canal 95"/>
    <s v="https://www.canal95.cl/nacional/debate-ambiental-chile-ranita-darwin-pinguino-humboldt-riesgo"/>
    <n v="1"/>
    <n v="1"/>
    <s v="Nacional"/>
    <n v="1"/>
    <s v="Denuncia/Conflicto"/>
    <n v="1"/>
    <s v="No"/>
  </r>
  <r>
    <x v="215"/>
    <x v="215"/>
    <s v="pingüino de Humboldt"/>
    <x v="215"/>
    <x v="144"/>
    <s v="Aves"/>
    <x v="1"/>
    <x v="1"/>
    <s v="Meteored Chile"/>
    <s v="https://www.meteored.cl/noticias/ciencia/pinguino-de-humboldt-y-especies-unicas-de-chile-en-peligro-mas-del-70-esta-en-riesgo-de-extincion.html"/>
    <n v="1"/>
    <n v="1"/>
    <s v=" Nacional"/>
    <n v="1"/>
    <s v=" Alarma/Crisis"/>
    <n v="1"/>
    <s v="No"/>
  </r>
  <r>
    <x v="215"/>
    <x v="215"/>
    <s v="pingüino de Humboldt"/>
    <x v="215"/>
    <x v="144"/>
    <s v="Aves"/>
    <x v="1"/>
    <x v="98"/>
    <s v="Mestizos Magazine"/>
    <s v="https://www.mestizos.cl/actualidad-animal/2026/03/18/gobierno-chileno-le-quita-la-proteccion-al-pinguino-de-humboldt.html"/>
    <n v="1"/>
    <n v="1"/>
    <s v=" Nacional"/>
    <n v="1"/>
    <s v=" Denuncia/Conflicto"/>
    <n v="1"/>
    <s v="No"/>
  </r>
  <r>
    <x v="215"/>
    <x v="215"/>
    <s v="pingüino de Humboldt"/>
    <x v="215"/>
    <x v="144"/>
    <s v="Aves"/>
    <x v="1"/>
    <x v="99"/>
    <s v="Puranoticia"/>
    <s v="https://puranoticia.pnt.cl/nacional/declaran-monumento-natural-al-pinguino-de-humboldt-en-todo-chile"/>
    <n v="1"/>
    <n v="1"/>
    <s v=" Nacional"/>
    <n v="1"/>
    <s v=" Conservación/Positivo"/>
    <n v="1"/>
    <s v="No"/>
  </r>
  <r>
    <x v="215"/>
    <x v="215"/>
    <s v="pingüino de Humboldt"/>
    <x v="215"/>
    <x v="144"/>
    <s v="Aves"/>
    <x v="1"/>
    <x v="100"/>
    <s v="ANSA Latina"/>
    <s v="https://www.ansalatina.com/americalatina/noticia/latinoamerica/2026/02/13/el-pingueino-de-humboldt-declarado-monumento-natural-por-chile_be13193f-0864-424f-855b-bc1b51c5ef3c.html"/>
    <n v="1"/>
    <n v="1"/>
    <s v=" Nacional"/>
    <n v="1"/>
    <s v=" Conservación/Positivo"/>
    <n v="1"/>
    <s v="No"/>
  </r>
  <r>
    <x v="215"/>
    <x v="215"/>
    <s v="pingüino de Humboldt"/>
    <x v="215"/>
    <x v="144"/>
    <s v="Aves"/>
    <x v="1"/>
    <x v="101"/>
    <s v="Radio Contacto 90.7 FM"/>
    <s v="https://radiocontacto.cl/2025/10/23/chile-declara-oficialmente-al-pinguino-de-humboldt-en-peligro-de-extincion/"/>
    <n v="1"/>
    <n v="1"/>
    <s v=" Nacional"/>
    <n v="1"/>
    <s v=" Alarma/Crisis"/>
    <n v="1"/>
    <s v="No"/>
  </r>
  <r>
    <x v="215"/>
    <x v="215"/>
    <s v="pingüino de Humboldt"/>
    <x v="215"/>
    <x v="144"/>
    <s v="Aves"/>
    <x v="1"/>
    <x v="102"/>
    <s v="eldiarioweb.com"/>
    <s v="https://www.eldiarioweb.com/2025/10/un-pinguino-de-chile-perdio-mas-del-50-de-su-poblacion/"/>
    <n v="1"/>
    <n v="1"/>
    <s v=" Nacional"/>
    <n v="1"/>
    <s v=" Alarma/Crisis"/>
    <n v="1"/>
    <s v="No"/>
  </r>
  <r>
    <x v="215"/>
    <x v="215"/>
    <s v="pingüino de Humboldt"/>
    <x v="215"/>
    <x v="144"/>
    <s v="Aves"/>
    <x v="1"/>
    <x v="103"/>
    <s v="Publimicro"/>
    <s v="https://publimicro.cl/chile-declara-monumento-natural-al-pinguino-de-humboldt-tras-caida-del-50-de-su-poblacion/"/>
    <n v="1"/>
    <n v="1"/>
    <s v=" Nacional"/>
    <n v="1"/>
    <s v=" Conservación/Positivo"/>
    <n v="1"/>
    <s v="No"/>
  </r>
  <r>
    <x v="215"/>
    <x v="215"/>
    <s v="pingüino de Humboldt"/>
    <x v="215"/>
    <x v="144"/>
    <s v="Aves"/>
    <x v="1"/>
    <x v="104"/>
    <s v="soychile.cl"/>
    <s v="https://www.soychile.cl/antofagasta/sociedad/2025/10/24/926196/region-antofagasta-especie-iconica.html"/>
    <n v="1"/>
    <n v="1"/>
    <s v=" Nacional"/>
    <n v="1"/>
    <s v=" Alarma/Crisis"/>
    <n v="1"/>
    <s v="No"/>
  </r>
  <r>
    <x v="215"/>
    <x v="215"/>
    <s v="pingüino de Humboldt"/>
    <x v="215"/>
    <x v="144"/>
    <s v="Aves"/>
    <x v="1"/>
    <x v="18"/>
    <s v="Meganoticias"/>
    <s v="https://www.meganoticias.cl/nacional/517253-gobierno-retira-mas-de-40-decretos-ambientales-proteccion-ranita-de-darwin-pinguino-de-humboldt-17-3-2026.html"/>
    <n v="1"/>
    <n v="1"/>
    <s v=" Nacional"/>
    <n v="1"/>
    <s v=" Denuncia/Conflicto"/>
    <n v="0"/>
    <s v="No"/>
  </r>
  <r>
    <x v="215"/>
    <x v="215"/>
    <s v="pingüino de Humboldt"/>
    <x v="215"/>
    <x v="144"/>
    <s v="Aves"/>
    <x v="1"/>
    <x v="105"/>
    <s v="ADN Radio"/>
    <s v="https://www.adnradio.cl/2026/02/15/pinguino-de-humboldt-es-declarado-monumento-natural-y-refuerzan-su-proteccion-en-todo-chile/"/>
    <n v="1"/>
    <n v="1"/>
    <s v=" Nacional"/>
    <n v="1"/>
    <s v=" Conservación/Positivo"/>
    <n v="1"/>
    <s v="No"/>
  </r>
  <r>
    <x v="215"/>
    <x v="215"/>
    <s v="pingüino de Humboldt"/>
    <x v="215"/>
    <x v="144"/>
    <s v="Aves"/>
    <x v="1"/>
    <x v="45"/>
    <s v="Publimetro"/>
    <s v="https://www.publimetro.cl/social/2026/03/18/desde-hoy-en-adelante-no-usare-desodorante-solo-tanax-insecticida-se-vuelve-viral-por-critica-a-retiro-de-decreto-que-protegia-a-pinguino-de-humboldt-y-ranita-de-darwin/"/>
    <n v="1"/>
    <n v="1"/>
    <s v=" Nacional"/>
    <n v="1"/>
    <s v=" Denuncia/Conflicto"/>
    <n v="1"/>
    <s v="No"/>
  </r>
  <r>
    <x v="215"/>
    <x v="215"/>
    <s v="pingüino de Humboldt"/>
    <x v="215"/>
    <x v="144"/>
    <s v="Aves"/>
    <x v="1"/>
    <x v="106"/>
    <s v="Meteored Chile"/>
    <s v="https://www.meteored.cl/noticias/actualidad/el-pequeno-gran-emperador-de-la-corriente-pinguino-de-humboldt-ya-es-monumento-natural-en-chile.html"/>
    <n v="1"/>
    <n v="1"/>
    <s v=" Nacional"/>
    <n v="1"/>
    <s v=" Conservación/Positivo"/>
    <n v="1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692189-022A-465F-A8BA-6243763878E5}" name="TablaDinámica1" cacheId="1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13" firstHeaderRow="0" firstDataRow="1" firstDataCol="1" rowPageCount="1" colPageCount="1"/>
  <pivotFields count="17">
    <pivotField dataField="1" showAll="0">
      <items count="2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t="default"/>
      </items>
    </pivotField>
    <pivotField axis="axisRow" showAll="0">
      <items count="217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showAll="0">
      <items count="217">
        <item x="70"/>
        <item x="0"/>
        <item x="71"/>
        <item x="72"/>
        <item x="1"/>
        <item x="73"/>
        <item x="74"/>
        <item x="75"/>
        <item x="76"/>
        <item x="2"/>
        <item x="77"/>
        <item x="78"/>
        <item x="79"/>
        <item x="3"/>
        <item x="80"/>
        <item x="4"/>
        <item x="81"/>
        <item x="82"/>
        <item x="83"/>
        <item x="84"/>
        <item x="5"/>
        <item x="85"/>
        <item x="6"/>
        <item x="86"/>
        <item x="87"/>
        <item x="88"/>
        <item x="89"/>
        <item x="90"/>
        <item x="91"/>
        <item x="92"/>
        <item x="93"/>
        <item x="94"/>
        <item x="95"/>
        <item x="7"/>
        <item x="8"/>
        <item x="96"/>
        <item x="97"/>
        <item x="98"/>
        <item x="99"/>
        <item x="9"/>
        <item x="100"/>
        <item x="101"/>
        <item x="10"/>
        <item x="102"/>
        <item x="11"/>
        <item x="103"/>
        <item x="12"/>
        <item x="104"/>
        <item x="105"/>
        <item x="106"/>
        <item x="107"/>
        <item x="108"/>
        <item x="109"/>
        <item x="13"/>
        <item x="14"/>
        <item x="15"/>
        <item x="110"/>
        <item x="16"/>
        <item x="111"/>
        <item x="112"/>
        <item x="113"/>
        <item x="114"/>
        <item x="17"/>
        <item x="115"/>
        <item x="116"/>
        <item x="117"/>
        <item x="118"/>
        <item x="119"/>
        <item x="18"/>
        <item x="120"/>
        <item x="19"/>
        <item x="121"/>
        <item x="122"/>
        <item x="20"/>
        <item x="21"/>
        <item x="22"/>
        <item x="23"/>
        <item x="24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25"/>
        <item x="144"/>
        <item x="145"/>
        <item x="26"/>
        <item x="27"/>
        <item x="146"/>
        <item x="213"/>
        <item x="147"/>
        <item x="148"/>
        <item x="149"/>
        <item x="150"/>
        <item x="151"/>
        <item x="152"/>
        <item x="28"/>
        <item x="29"/>
        <item x="153"/>
        <item x="154"/>
        <item x="155"/>
        <item x="30"/>
        <item x="156"/>
        <item x="157"/>
        <item x="158"/>
        <item x="31"/>
        <item x="159"/>
        <item x="32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33"/>
        <item x="171"/>
        <item x="172"/>
        <item x="173"/>
        <item x="34"/>
        <item x="35"/>
        <item x="174"/>
        <item x="175"/>
        <item x="176"/>
        <item x="177"/>
        <item x="36"/>
        <item x="178"/>
        <item x="179"/>
        <item x="37"/>
        <item x="38"/>
        <item x="39"/>
        <item x="180"/>
        <item x="181"/>
        <item x="182"/>
        <item x="183"/>
        <item x="40"/>
        <item x="184"/>
        <item x="185"/>
        <item x="186"/>
        <item x="41"/>
        <item x="42"/>
        <item x="187"/>
        <item x="188"/>
        <item x="189"/>
        <item x="43"/>
        <item x="44"/>
        <item x="190"/>
        <item x="191"/>
        <item x="45"/>
        <item x="192"/>
        <item x="193"/>
        <item x="194"/>
        <item x="195"/>
        <item x="46"/>
        <item x="47"/>
        <item x="214"/>
        <item x="48"/>
        <item x="49"/>
        <item x="196"/>
        <item x="50"/>
        <item x="215"/>
        <item x="51"/>
        <item x="52"/>
        <item x="53"/>
        <item x="54"/>
        <item x="197"/>
        <item x="198"/>
        <item x="55"/>
        <item x="199"/>
        <item x="56"/>
        <item x="57"/>
        <item x="58"/>
        <item x="59"/>
        <item x="60"/>
        <item x="61"/>
        <item x="62"/>
        <item x="63"/>
        <item x="200"/>
        <item x="201"/>
        <item x="64"/>
        <item x="202"/>
        <item x="203"/>
        <item x="204"/>
        <item x="65"/>
        <item x="66"/>
        <item x="67"/>
        <item x="205"/>
        <item x="68"/>
        <item x="69"/>
        <item x="206"/>
        <item x="207"/>
        <item x="208"/>
        <item x="209"/>
        <item x="210"/>
        <item x="211"/>
        <item x="212"/>
        <item t="default"/>
      </items>
    </pivotField>
    <pivotField showAll="0">
      <items count="146">
        <item x="22"/>
        <item x="0"/>
        <item x="19"/>
        <item x="114"/>
        <item x="64"/>
        <item x="17"/>
        <item x="74"/>
        <item x="75"/>
        <item x="39"/>
        <item x="80"/>
        <item x="58"/>
        <item x="141"/>
        <item x="112"/>
        <item x="14"/>
        <item x="6"/>
        <item x="35"/>
        <item x="9"/>
        <item x="126"/>
        <item x="13"/>
        <item x="15"/>
        <item x="57"/>
        <item x="69"/>
        <item x="90"/>
        <item x="29"/>
        <item x="133"/>
        <item x="37"/>
        <item x="42"/>
        <item x="48"/>
        <item x="121"/>
        <item x="122"/>
        <item x="65"/>
        <item x="68"/>
        <item x="66"/>
        <item x="67"/>
        <item x="12"/>
        <item x="89"/>
        <item x="71"/>
        <item x="72"/>
        <item x="88"/>
        <item x="117"/>
        <item x="32"/>
        <item x="62"/>
        <item x="63"/>
        <item x="10"/>
        <item x="61"/>
        <item x="131"/>
        <item x="132"/>
        <item x="43"/>
        <item x="130"/>
        <item x="129"/>
        <item x="120"/>
        <item x="142"/>
        <item x="116"/>
        <item x="31"/>
        <item x="119"/>
        <item x="26"/>
        <item x="96"/>
        <item x="99"/>
        <item x="100"/>
        <item x="97"/>
        <item x="25"/>
        <item x="102"/>
        <item x="23"/>
        <item x="104"/>
        <item x="101"/>
        <item x="105"/>
        <item x="108"/>
        <item x="98"/>
        <item x="106"/>
        <item x="107"/>
        <item x="36"/>
        <item x="103"/>
        <item x="27"/>
        <item x="109"/>
        <item x="24"/>
        <item x="113"/>
        <item x="79"/>
        <item x="139"/>
        <item x="56"/>
        <item x="73"/>
        <item x="60"/>
        <item x="125"/>
        <item x="33"/>
        <item x="123"/>
        <item x="124"/>
        <item x="34"/>
        <item x="95"/>
        <item x="49"/>
        <item x="140"/>
        <item x="41"/>
        <item x="93"/>
        <item x="115"/>
        <item x="1"/>
        <item x="59"/>
        <item x="30"/>
        <item x="21"/>
        <item x="40"/>
        <item x="144"/>
        <item x="2"/>
        <item x="70"/>
        <item x="110"/>
        <item x="91"/>
        <item x="82"/>
        <item x="52"/>
        <item x="4"/>
        <item x="47"/>
        <item x="137"/>
        <item x="38"/>
        <item x="143"/>
        <item x="87"/>
        <item x="8"/>
        <item x="44"/>
        <item x="46"/>
        <item x="50"/>
        <item x="83"/>
        <item x="45"/>
        <item x="84"/>
        <item x="85"/>
        <item x="51"/>
        <item x="86"/>
        <item x="5"/>
        <item x="3"/>
        <item x="54"/>
        <item x="134"/>
        <item x="135"/>
        <item x="53"/>
        <item x="136"/>
        <item x="138"/>
        <item x="7"/>
        <item x="11"/>
        <item x="81"/>
        <item x="94"/>
        <item x="20"/>
        <item x="118"/>
        <item x="28"/>
        <item x="18"/>
        <item x="55"/>
        <item x="76"/>
        <item x="78"/>
        <item x="77"/>
        <item x="127"/>
        <item x="128"/>
        <item x="92"/>
        <item x="111"/>
        <item x="16"/>
        <item t="default"/>
      </items>
    </pivotField>
    <pivotField showAll="0"/>
    <pivotField showAll="0" defaultSubtotal="0">
      <items count="4">
        <item x="0"/>
        <item x="1"/>
        <item x="3"/>
        <item x="2"/>
      </items>
    </pivotField>
    <pivotField axis="axisPage" multipleItemSelectionAllowed="1" showAll="0">
      <items count="108">
        <item x="62"/>
        <item x="86"/>
        <item x="84"/>
        <item x="40"/>
        <item x="95"/>
        <item x="45"/>
        <item x="31"/>
        <item x="9"/>
        <item x="48"/>
        <item x="23"/>
        <item x="94"/>
        <item x="52"/>
        <item x="80"/>
        <item x="71"/>
        <item x="66"/>
        <item x="103"/>
        <item x="101"/>
        <item x="97"/>
        <item x="67"/>
        <item x="13"/>
        <item x="54"/>
        <item x="32"/>
        <item x="50"/>
        <item x="22"/>
        <item x="25"/>
        <item x="51"/>
        <item x="28"/>
        <item x="29"/>
        <item x="8"/>
        <item x="44"/>
        <item x="17"/>
        <item x="56"/>
        <item x="63"/>
        <item x="99"/>
        <item x="38"/>
        <item x="49"/>
        <item x="47"/>
        <item x="89"/>
        <item x="21"/>
        <item x="35"/>
        <item x="106"/>
        <item x="34"/>
        <item x="91"/>
        <item x="90"/>
        <item x="14"/>
        <item x="100"/>
        <item x="78"/>
        <item x="15"/>
        <item x="58"/>
        <item x="3"/>
        <item x="79"/>
        <item x="12"/>
        <item x="6"/>
        <item x="60"/>
        <item x="64"/>
        <item x="74"/>
        <item x="98"/>
        <item x="42"/>
        <item x="18"/>
        <item x="83"/>
        <item x="24"/>
        <item x="20"/>
        <item x="37"/>
        <item x="26"/>
        <item x="75"/>
        <item x="19"/>
        <item x="85"/>
        <item x="16"/>
        <item x="39"/>
        <item x="93"/>
        <item x="5"/>
        <item x="10"/>
        <item x="7"/>
        <item x="82"/>
        <item x="53"/>
        <item x="88"/>
        <item x="73"/>
        <item x="70"/>
        <item x="72"/>
        <item x="96"/>
        <item x="105"/>
        <item x="61"/>
        <item x="104"/>
        <item x="2"/>
        <item x="1"/>
        <item x="4"/>
        <item x="43"/>
        <item x="57"/>
        <item x="65"/>
        <item x="41"/>
        <item x="46"/>
        <item x="55"/>
        <item x="87"/>
        <item x="68"/>
        <item x="76"/>
        <item x="27"/>
        <item x="30"/>
        <item x="36"/>
        <item h="1" x="0"/>
        <item x="11"/>
        <item x="77"/>
        <item x="69"/>
        <item x="81"/>
        <item x="102"/>
        <item x="59"/>
        <item x="92"/>
        <item h="1" x="3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</pivotFields>
  <rowFields count="1">
    <field x="1"/>
  </rowFields>
  <rowItems count="10">
    <i>
      <x v="78"/>
    </i>
    <i>
      <x v="128"/>
    </i>
    <i>
      <x v="129"/>
    </i>
    <i>
      <x v="130"/>
    </i>
    <i>
      <x v="134"/>
    </i>
    <i>
      <x v="156"/>
    </i>
    <i>
      <x v="160"/>
    </i>
    <i>
      <x v="162"/>
    </i>
    <i>
      <x v="16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hier="-1"/>
  </pageFields>
  <dataFields count="3">
    <dataField name="Cuenta de Especie ID" fld="0" subtotal="count" baseField="0" baseItem="0"/>
    <dataField name="Suma de Es protagonsita" fld="13" baseField="0" baseItem="0"/>
    <dataField name="Cuenta de Tiene foto" fld="1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B6D19-2C22-4B8A-A439-61C9E2E7B941}" name="Tabla24" displayName="Tabla24" ref="A1:Q352" totalsRowShown="0">
  <autoFilter ref="A1:Q352" xr:uid="{EDDB6D19-2C22-4B8A-A439-61C9E2E7B941}">
    <filterColumn colId="0">
      <filters>
        <filter val="17"/>
        <filter val="214"/>
        <filter val="215"/>
        <filter val="216"/>
        <filter val="25"/>
        <filter val="45"/>
        <filter val="49"/>
        <filter val="50"/>
        <filter val="51"/>
      </filters>
    </filterColumn>
  </autoFilter>
  <tableColumns count="17">
    <tableColumn id="1" xr3:uid="{79EC8CDB-065A-4F86-AE3F-2852BD67B39C}" name="Especie ID"/>
    <tableColumn id="18" xr3:uid="{FDB39E14-79AB-4D13-902F-7E7578752887}" name="Etiqueta" dataDxfId="0">
      <calculatedColumnFormula>A2 &amp; " - " &amp; C2</calculatedColumnFormula>
    </tableColumn>
    <tableColumn id="17" xr3:uid="{2E777370-BE63-4D1A-B38F-B64E4F1B9A19}" name="Nombre corto" dataDxfId="1">
      <calculatedColumnFormula>IF(E2="", D2, LEFT(E2, SEARCH(",", E2 &amp; ",") - 1))</calculatedColumnFormula>
    </tableColumn>
    <tableColumn id="2" xr3:uid="{00C638DF-3E45-4F07-A2A0-7D45F5B480F1}" name="Nombre científico " dataDxfId="3"/>
    <tableColumn id="3" xr3:uid="{DC5E4A0C-32C4-41FC-B01D-D73693D10757}" name="Nombre común"/>
    <tableColumn id="4" xr3:uid="{8261A0AC-C23D-45AB-B0E5-92B1B3AE6D7E}" name="Clase"/>
    <tableColumn id="16" xr3:uid="{4ED12DFC-1315-4EB9-AAE0-2D25FE26C425}" name="RCE"/>
    <tableColumn id="6" xr3:uid="{6AE20462-8953-469C-B463-8406E420B2FA}" name="Titular"/>
    <tableColumn id="11" xr3:uid="{633A26FD-5F5C-49B5-B285-9C8BF4415BE0}" name="Fuente"/>
    <tableColumn id="12" xr3:uid="{9E976601-B026-434F-96B7-C93E25036A37}" name="Link"/>
    <tableColumn id="5" xr3:uid="{EEAAC575-311F-459F-A231-13F53857D7F6}" name="Usa N. Científico" dataDxfId="2"/>
    <tableColumn id="13" xr3:uid="{FB53B955-F360-42EF-8332-A23A88F8BD51}" name="Usa N. Común"/>
    <tableColumn id="7" xr3:uid="{F28EEBDB-7096-4C13-AD2C-8E1F804B7161}" name="Alcance"/>
    <tableColumn id="8" xr3:uid="{2BB18F22-72E0-4FD9-B0CB-2B7DEC5E3C63}" name="Es protagonsita"/>
    <tableColumn id="10" xr3:uid="{A0AEE4A5-8D30-44F4-B436-2994E53E085C}" name="Tono predominante"/>
    <tableColumn id="9" xr3:uid="{C6740226-124E-4788-AE5E-F2819E4F4450}" name="Tiene foto"/>
    <tableColumn id="15" xr3:uid="{6E089B3C-4DFD-461F-B1E5-7799009A4883}" name="Endémica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elmostrador.cl/agenda-pais/agenda-sustentable/2025/10/28/especies-en-riesgo-pinguino-de-humboldt-lagarto-de-alvaro-y-plantas-de-juan-fernandez-en-alerta/" TargetMode="External"/><Relationship Id="rId18" Type="http://schemas.openxmlformats.org/officeDocument/2006/relationships/hyperlink" Target="https://biologia.uc.cl/1000-genomas-el-proyecto-que-busca-construir-el-inventario-mas-completo-de-la-biodiversidad-de-chile/" TargetMode="External"/><Relationship Id="rId26" Type="http://schemas.openxmlformats.org/officeDocument/2006/relationships/hyperlink" Target="https://www.meteored.cl/noticias/ciencia/pinguino-de-humboldt-y-especies-unicas-de-chile-en-peligro-mas-del-70-esta-en-riesgo-de-extincion.html" TargetMode="External"/><Relationship Id="rId21" Type="http://schemas.openxmlformats.org/officeDocument/2006/relationships/hyperlink" Target="https://www.cooperativaciencia.cl/medio-ambiente/2025/10/20/pinguino-de-humboldt-y-especies-endemicas-en-chile-aumentan-riesgo-de-extincion/" TargetMode="External"/><Relationship Id="rId34" Type="http://schemas.openxmlformats.org/officeDocument/2006/relationships/hyperlink" Target="https://www.adnradio.cl/2026/02/23/guardabosques-chilenos-y-zoologico-de-londres-buscan-salvar-a-la-ranita-de-darwin-de-la-extincion/" TargetMode="External"/><Relationship Id="rId7" Type="http://schemas.openxmlformats.org/officeDocument/2006/relationships/hyperlink" Target="https://www.cooperativaciencia.cl/medio-ambiente/2026/03/12/estudio-advierte-perdida-de-habitat-del-picaflor-de-arica-por-expansion-agricola/" TargetMode="External"/><Relationship Id="rId12" Type="http://schemas.openxmlformats.org/officeDocument/2006/relationships/hyperlink" Target="https://www.diariosustentable.com/2025/10/pinguino-de-humboldt-lagarto-grunidor-y-plantas-endemicas-de-juan-fernandez-aumentan-su-riesgo-de-extincion-en-chile/" TargetMode="External"/><Relationship Id="rId17" Type="http://schemas.openxmlformats.org/officeDocument/2006/relationships/hyperlink" Target="https://radiopaulina.cl/2026/03/20/contraloria-aprueba-plan-para-proteger-a-las-ranitas-de-darwin-tras-revision-del-gobierno/" TargetMode="External"/><Relationship Id="rId25" Type="http://schemas.openxmlformats.org/officeDocument/2006/relationships/hyperlink" Target="https://www.elperiodista.cl/2025/10/pinguino-de-humboldt-es-declarado-oficialmente-en-peligro-de-extincion/" TargetMode="External"/><Relationship Id="rId33" Type="http://schemas.openxmlformats.org/officeDocument/2006/relationships/hyperlink" Target="https://www.cooperativa.cl/noticias/sociedad/fauna/alianza-internacional-en-huilo-huilo-busca-proteger-a-la-ranita-de/2026-02-06/124716.html" TargetMode="External"/><Relationship Id="rId2" Type="http://schemas.openxmlformats.org/officeDocument/2006/relationships/hyperlink" Target="https://laderasur.com/articulo/solo-quedan-400-crean-microreserva-de-mas-de-15-hectareas-para-proteger-al-picaflor-de-arica/" TargetMode="External"/><Relationship Id="rId16" Type="http://schemas.openxmlformats.org/officeDocument/2006/relationships/hyperlink" Target="https://www.elmostrador.cl/agenda-pais/agenda-sustentable/2026/01/09/revelan-como-el-hongo-quitrido-se-propaga-y-empuja-a-la-ranita-de-darwin-a-la-extincion-en-chile/" TargetMode="External"/><Relationship Id="rId20" Type="http://schemas.openxmlformats.org/officeDocument/2006/relationships/hyperlink" Target="https://interferencia.cl/articulos/contra-ranita-de-darwin-pinguino-de-humboldt-y-areas-protegidas-kast-defiende-retiro-de-43" TargetMode="External"/><Relationship Id="rId29" Type="http://schemas.openxmlformats.org/officeDocument/2006/relationships/hyperlink" Target="https://elpais.com/chile/2026-02-23/la-ranita-descubierta-por-charles-darwin-en-chile-busca-salvarse-de-la-extincion.html" TargetMode="External"/><Relationship Id="rId1" Type="http://schemas.openxmlformats.org/officeDocument/2006/relationships/hyperlink" Target="https://www.biobiochile.cl/noticias/ciencia-y-tecnologia/medio-ambiente-cyt/2026/03/16/estudio-advierte-como-el-picaflor-de-arica-esta-perdiendo-su-habitat-debido-a-los-monocultivos.shtml" TargetMode="External"/><Relationship Id="rId6" Type="http://schemas.openxmlformats.org/officeDocument/2006/relationships/hyperlink" Target="https://www.terram.cl/picaflor-de-arica-pierde-terreno-estudio-alerta-impacto-de-monocultivos-en-azapa-que-hacer/" TargetMode="External"/><Relationship Id="rId11" Type="http://schemas.openxmlformats.org/officeDocument/2006/relationships/hyperlink" Target="https://www.diariosustentable.com/2025/10/pinguino-de-humboldt-lagarto-grunidor-y-plantas-endemicas-de-juan-fernandez-aumentan-su-riesgo-de-extincion-en-chile/" TargetMode="External"/><Relationship Id="rId24" Type="http://schemas.openxmlformats.org/officeDocument/2006/relationships/hyperlink" Target="https://futuro360.cnnchile.com/el-pinguino-de-humboldt-pasa-a-estar-en-peligro-de-extincion-y-enciende-las-alarmas-por-la-biodiversidad-en-chile" TargetMode="External"/><Relationship Id="rId32" Type="http://schemas.openxmlformats.org/officeDocument/2006/relationships/hyperlink" Target="https://www.24horas.cl/conciencia-24-7/ciencia/cientifico-chileno-estudio-extincion-ranita-darwin" TargetMode="External"/><Relationship Id="rId37" Type="http://schemas.openxmlformats.org/officeDocument/2006/relationships/table" Target="../tables/table1.xml"/><Relationship Id="rId5" Type="http://schemas.openxmlformats.org/officeDocument/2006/relationships/hyperlink" Target="https://www.theclinic.cl/2026/02/25/crean-microreserva-de-mas-de-15-hectareas-para-proteger-a-picaflor-de-arica-especie-que-esta-peligro-critico-de-extincion/" TargetMode="External"/><Relationship Id="rId15" Type="http://schemas.openxmlformats.org/officeDocument/2006/relationships/hyperlink" Target="https://www.diariomayor.cl/creando-universidad/academicos/equipo-um-logro-que-el-lagarto-grunidor-de-alvaro-sea-considerado-en-peligro-critico-de-extincion" TargetMode="External"/><Relationship Id="rId23" Type="http://schemas.openxmlformats.org/officeDocument/2006/relationships/hyperlink" Target="https://www.elovallino.cl/retiran-decreto-que-protegia-al-pinguino-de-humboldt/" TargetMode="External"/><Relationship Id="rId28" Type="http://schemas.openxmlformats.org/officeDocument/2006/relationships/hyperlink" Target="https://www.meganoticias.cl/nacional/517253-gobierno-retira-mas-de-40-decretos-ambientales-proteccion-ranita-de-darwin-pinguino-de-humboldt-17-3-2026.html" TargetMode="External"/><Relationship Id="rId36" Type="http://schemas.openxmlformats.org/officeDocument/2006/relationships/hyperlink" Target="https://www.biobiochile.cl/noticias/ciencia-y-tecnologia/ciencia/2026/01/26/investigacion-chilena-descubre-como-un-hongo-invasivo-provoca-epidemias-letales-en-anfibios-terrestres.shtml" TargetMode="External"/><Relationship Id="rId10" Type="http://schemas.openxmlformats.org/officeDocument/2006/relationships/hyperlink" Target="https://eldesconcierto.cl/2025/10/18/ministra-rojas-expone-dramatico-estado-del-pinguino-de-humboldt-lagarto-grunidor-y-otras-70-especies" TargetMode="External"/><Relationship Id="rId19" Type="http://schemas.openxmlformats.org/officeDocument/2006/relationships/hyperlink" Target="https://elpais.com/chile/2025-10-20/chile-levanta-el-mayor-registro-genetico-de-su-biodiversidad.html" TargetMode="External"/><Relationship Id="rId31" Type="http://schemas.openxmlformats.org/officeDocument/2006/relationships/hyperlink" Target="https://www.biobiochile.cl/noticias/ciencia-y-tecnologia/ciencia/2026/01/08/dilucidan-como-una-enfermedad-esta-extinguiendo-a-la-ranita-de-darwin-ya-mato-a-su-especie-hermana.shtml" TargetMode="External"/><Relationship Id="rId4" Type="http://schemas.openxmlformats.org/officeDocument/2006/relationships/hyperlink" Target="https://www.elmostrador.cl/cultura/ciencia-cultura/2026/03/05/alertan-perdida-de-habitat-del-picaflor-de-arica-por-expansion-de-monocultivos-en-valles-del-norte/" TargetMode="External"/><Relationship Id="rId9" Type="http://schemas.openxmlformats.org/officeDocument/2006/relationships/hyperlink" Target="https://www.terram.cl/declaran-al-lagarto-grunidor-de-alvaro-especie-endemica-chilena-en-peligro-critico-de-extincion/" TargetMode="External"/><Relationship Id="rId14" Type="http://schemas.openxmlformats.org/officeDocument/2006/relationships/hyperlink" Target="https://www.elmostrador.cl/agenda-pais/agenda-sustentable/2025/10/28/especies-en-riesgo-pinguino-de-humboldt-lagarto-de-alvaro-y-plantas-de-juan-fernandez-en-alerta/" TargetMode="External"/><Relationship Id="rId22" Type="http://schemas.openxmlformats.org/officeDocument/2006/relationships/hyperlink" Target="https://www.cooperativaciencia.cl/medio-ambiente/2025/10/20/pinguino-de-humboldt-y-especies-endemicas-en-chile-aumentan-riesgo-de-extincion/" TargetMode="External"/><Relationship Id="rId27" Type="http://schemas.openxmlformats.org/officeDocument/2006/relationships/hyperlink" Target="https://www.meteored.cl/noticias/ciencia/pinguino-de-humboldt-y-especies-unicas-de-chile-en-peligro-mas-del-70-esta-en-riesgo-de-extincion.html" TargetMode="External"/><Relationship Id="rId30" Type="http://schemas.openxmlformats.org/officeDocument/2006/relationships/hyperlink" Target="https://noticias.unab.cl/investigacion-con-sello-unab-revela-como-un-hongo-letal-amenaza-la-supervivencia-de-la-ranita-de-darwin/" TargetMode="External"/><Relationship Id="rId35" Type="http://schemas.openxmlformats.org/officeDocument/2006/relationships/hyperlink" Target="https://www.cooperativaciencia.cl/medio-ambiente/2026/01/02/cientifico-chileno-lidera-estudio-que-revela-como-un-hongo-letal-esta-extinguiendo-a-la-ranita-de-darwin/" TargetMode="External"/><Relationship Id="rId8" Type="http://schemas.openxmlformats.org/officeDocument/2006/relationships/hyperlink" Target="https://www.canal9.cl/episodios/nuestra-casa/2026/03/20/picaflor-de-arica-en-peligro-critico-estudio-alerta-impacto-de-la-agricultura-intensiva" TargetMode="External"/><Relationship Id="rId3" Type="http://schemas.openxmlformats.org/officeDocument/2006/relationships/hyperlink" Target="https://www.cooperativa.cl/noticias/pais/medioambiente/animales/picaflor-de-arica-en-peligro-monocultivos-amenazan-su-habitat/2026-03-04/154152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011F-46C5-4DAD-9B92-B867D7B4EA5C}">
  <dimension ref="A1:Q575"/>
  <sheetViews>
    <sheetView zoomScale="70" zoomScaleNormal="45" workbookViewId="0">
      <selection activeCell="D82" sqref="D82:F82"/>
    </sheetView>
  </sheetViews>
  <sheetFormatPr baseColWidth="10" defaultRowHeight="14.5" customHeight="1"/>
  <cols>
    <col min="3" max="3" width="27.54296875" bestFit="1" customWidth="1"/>
    <col min="4" max="4" width="89.90625" bestFit="1" customWidth="1"/>
  </cols>
  <sheetData>
    <row r="1" spans="1:17" ht="14.5" customHeight="1">
      <c r="A1" t="s">
        <v>0</v>
      </c>
      <c r="B1" t="s">
        <v>701</v>
      </c>
      <c r="C1" t="s">
        <v>700</v>
      </c>
      <c r="D1" s="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692</v>
      </c>
    </row>
    <row r="2" spans="1:17" ht="14.5" hidden="1" customHeight="1">
      <c r="A2">
        <v>1</v>
      </c>
      <c r="B2" t="str">
        <f t="shared" ref="B2:B65" si="0">A2 &amp; " - " &amp; C2</f>
        <v>1 - Araña (genérico)</v>
      </c>
      <c r="C2" t="str">
        <f t="shared" ref="C2:C65" si="1">IF(E2="", D2, LEFT(E2, SEARCH(",", E2 &amp; ",") - 1))</f>
        <v>Araña (genérico)</v>
      </c>
      <c r="D2" s="1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693</v>
      </c>
    </row>
    <row r="3" spans="1:17" ht="14.5" hidden="1" customHeight="1">
      <c r="A3">
        <v>2</v>
      </c>
      <c r="B3" t="str">
        <f t="shared" si="0"/>
        <v>2 - pancora</v>
      </c>
      <c r="C3" t="str">
        <f t="shared" si="1"/>
        <v>pancora</v>
      </c>
      <c r="D3" s="1" t="s">
        <v>19</v>
      </c>
      <c r="E3" t="s">
        <v>20</v>
      </c>
      <c r="F3" t="s">
        <v>21</v>
      </c>
      <c r="G3" t="s">
        <v>17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693</v>
      </c>
    </row>
    <row r="4" spans="1:17" ht="14.5" hidden="1" customHeight="1">
      <c r="A4">
        <v>3</v>
      </c>
      <c r="B4" t="str">
        <f t="shared" si="0"/>
        <v>3 - piñacha</v>
      </c>
      <c r="C4" t="str">
        <f t="shared" si="1"/>
        <v>piñacha</v>
      </c>
      <c r="D4" s="1" t="s">
        <v>22</v>
      </c>
      <c r="E4" t="s">
        <v>23</v>
      </c>
      <c r="F4" t="s">
        <v>21</v>
      </c>
      <c r="G4" t="s">
        <v>17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693</v>
      </c>
    </row>
    <row r="5" spans="1:17" ht="14.5" hidden="1" customHeight="1">
      <c r="A5">
        <v>4</v>
      </c>
      <c r="B5" t="str">
        <f t="shared" si="0"/>
        <v>4 - sapo de pecho espinoso de Potrero</v>
      </c>
      <c r="C5" t="str">
        <f t="shared" si="1"/>
        <v>sapo de pecho espinoso de Potrero</v>
      </c>
      <c r="D5" s="1" t="s">
        <v>24</v>
      </c>
      <c r="E5" t="s">
        <v>25</v>
      </c>
      <c r="F5" t="s">
        <v>26</v>
      </c>
      <c r="G5" t="s">
        <v>17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693</v>
      </c>
    </row>
    <row r="6" spans="1:17" ht="14.5" hidden="1" customHeight="1">
      <c r="A6">
        <v>5</v>
      </c>
      <c r="B6" t="str">
        <f t="shared" si="0"/>
        <v>5 - rana de pecho espinoso de Oncol</v>
      </c>
      <c r="C6" t="str">
        <f t="shared" si="1"/>
        <v>rana de pecho espinoso de Oncol</v>
      </c>
      <c r="D6" s="1" t="s">
        <v>27</v>
      </c>
      <c r="E6" t="s">
        <v>28</v>
      </c>
      <c r="F6" t="s">
        <v>26</v>
      </c>
      <c r="G6" t="s">
        <v>17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693</v>
      </c>
    </row>
    <row r="7" spans="1:17" ht="14.5" hidden="1" customHeight="1">
      <c r="A7">
        <v>6</v>
      </c>
      <c r="B7" t="str">
        <f t="shared" si="0"/>
        <v>6 - sapo de pecho espinoso de Malleco</v>
      </c>
      <c r="C7" t="str">
        <f t="shared" si="1"/>
        <v>sapo de pecho espinoso de Malleco</v>
      </c>
      <c r="D7" s="1" t="s">
        <v>29</v>
      </c>
      <c r="E7" t="s">
        <v>30</v>
      </c>
      <c r="F7" t="s">
        <v>26</v>
      </c>
      <c r="G7" t="s">
        <v>17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693</v>
      </c>
    </row>
    <row r="8" spans="1:17" ht="14.5" hidden="1" customHeight="1">
      <c r="A8">
        <v>7</v>
      </c>
      <c r="B8" t="str">
        <f t="shared" si="0"/>
        <v>7 - caracol</v>
      </c>
      <c r="C8" t="str">
        <f t="shared" si="1"/>
        <v>caracol</v>
      </c>
      <c r="D8" s="1" t="s">
        <v>31</v>
      </c>
      <c r="E8" t="s">
        <v>32</v>
      </c>
      <c r="F8" t="s">
        <v>33</v>
      </c>
      <c r="G8" t="s">
        <v>17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693</v>
      </c>
    </row>
    <row r="9" spans="1:17" ht="14.5" hidden="1" customHeight="1">
      <c r="A9">
        <v>8</v>
      </c>
      <c r="B9" t="str">
        <f t="shared" si="0"/>
        <v>8 - seudoescorpión</v>
      </c>
      <c r="C9" t="str">
        <f t="shared" si="1"/>
        <v>seudoescorpión</v>
      </c>
      <c r="D9" s="1" t="s">
        <v>34</v>
      </c>
      <c r="E9" t="s">
        <v>35</v>
      </c>
      <c r="F9" t="s">
        <v>16</v>
      </c>
      <c r="G9" t="s">
        <v>17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693</v>
      </c>
    </row>
    <row r="10" spans="1:17" ht="14.5" hidden="1" customHeight="1">
      <c r="A10">
        <v>9</v>
      </c>
      <c r="B10" t="str">
        <f t="shared" si="0"/>
        <v>9 - rayadito de Más Afuera</v>
      </c>
      <c r="C10" t="str">
        <f t="shared" si="1"/>
        <v>rayadito de Más Afuera</v>
      </c>
      <c r="D10" s="1" t="s">
        <v>36</v>
      </c>
      <c r="E10" t="s">
        <v>37</v>
      </c>
      <c r="F10" t="s">
        <v>38</v>
      </c>
      <c r="G10" t="s">
        <v>17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693</v>
      </c>
    </row>
    <row r="11" spans="1:17" ht="14.5" hidden="1" customHeight="1">
      <c r="A11">
        <v>10</v>
      </c>
      <c r="B11" t="str">
        <f t="shared" si="0"/>
        <v>10 - caracol de agua dulce</v>
      </c>
      <c r="C11" t="str">
        <f t="shared" si="1"/>
        <v>caracol de agua dulce</v>
      </c>
      <c r="D11" s="1" t="s">
        <v>39</v>
      </c>
      <c r="E11" t="s">
        <v>40</v>
      </c>
      <c r="F11" t="s">
        <v>33</v>
      </c>
      <c r="G11" t="s">
        <v>17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693</v>
      </c>
    </row>
    <row r="12" spans="1:17" ht="14.5" hidden="1" customHeight="1">
      <c r="A12">
        <v>11</v>
      </c>
      <c r="B12" t="str">
        <f t="shared" si="0"/>
        <v>11 - escorpión de Philippi</v>
      </c>
      <c r="C12" t="str">
        <f t="shared" si="1"/>
        <v>escorpión de Philippi</v>
      </c>
      <c r="D12" s="1" t="s">
        <v>41</v>
      </c>
      <c r="E12" t="s">
        <v>42</v>
      </c>
      <c r="F12" t="s">
        <v>16</v>
      </c>
      <c r="G12" t="s">
        <v>17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693</v>
      </c>
    </row>
    <row r="13" spans="1:17" ht="14.5" hidden="1" customHeight="1">
      <c r="A13">
        <v>12</v>
      </c>
      <c r="B13" t="str">
        <f t="shared" si="0"/>
        <v>12 - sierra del Orocoipo</v>
      </c>
      <c r="C13" t="str">
        <f t="shared" si="1"/>
        <v>sierra del Orocoipo</v>
      </c>
      <c r="D13" s="1" t="s">
        <v>43</v>
      </c>
      <c r="E13" t="s">
        <v>44</v>
      </c>
      <c r="F13" t="s">
        <v>45</v>
      </c>
      <c r="G13" t="s">
        <v>17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693</v>
      </c>
    </row>
    <row r="14" spans="1:17" ht="14.5" hidden="1" customHeight="1">
      <c r="A14">
        <v>13</v>
      </c>
      <c r="B14" t="str">
        <f t="shared" si="0"/>
        <v>13 - cascarudo híbrido o cascarudo del Poqui</v>
      </c>
      <c r="C14" t="str">
        <f t="shared" si="1"/>
        <v>cascarudo híbrido o cascarudo del Poqui</v>
      </c>
      <c r="D14" s="1" t="s">
        <v>46</v>
      </c>
      <c r="E14" t="s">
        <v>47</v>
      </c>
      <c r="F14" t="s">
        <v>45</v>
      </c>
      <c r="G14" t="s">
        <v>17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693</v>
      </c>
    </row>
    <row r="15" spans="1:17" ht="14.5" hidden="1" customHeight="1">
      <c r="A15">
        <v>14</v>
      </c>
      <c r="B15" t="str">
        <f t="shared" si="0"/>
        <v>14 - seudoescorpión</v>
      </c>
      <c r="C15" t="str">
        <f t="shared" si="1"/>
        <v>seudoescorpión</v>
      </c>
      <c r="D15" s="1" t="s">
        <v>48</v>
      </c>
      <c r="E15" t="s">
        <v>35</v>
      </c>
      <c r="F15" t="s">
        <v>16</v>
      </c>
      <c r="G15" t="s">
        <v>17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693</v>
      </c>
    </row>
    <row r="16" spans="1:17" ht="14.5" hidden="1" customHeight="1">
      <c r="A16">
        <v>15</v>
      </c>
      <c r="B16" t="str">
        <f t="shared" si="0"/>
        <v>15 - caracol de concha piramidal</v>
      </c>
      <c r="C16" t="str">
        <f t="shared" si="1"/>
        <v>caracol de concha piramidal</v>
      </c>
      <c r="D16" s="1" t="s">
        <v>49</v>
      </c>
      <c r="E16" t="s">
        <v>50</v>
      </c>
      <c r="F16" t="s">
        <v>33</v>
      </c>
      <c r="G16" t="s">
        <v>17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693</v>
      </c>
    </row>
    <row r="17" spans="1:17" ht="14.5" hidden="1" customHeight="1">
      <c r="A17">
        <v>16</v>
      </c>
      <c r="B17" t="str">
        <f t="shared" si="0"/>
        <v>16 - cantárida</v>
      </c>
      <c r="C17" t="str">
        <f t="shared" si="1"/>
        <v>cantárida</v>
      </c>
      <c r="D17" s="1" t="s">
        <v>51</v>
      </c>
      <c r="E17" t="s">
        <v>52</v>
      </c>
      <c r="F17" t="s">
        <v>45</v>
      </c>
      <c r="G17" t="s">
        <v>17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693</v>
      </c>
    </row>
    <row r="18" spans="1:17" ht="14.5" customHeight="1">
      <c r="A18">
        <v>17</v>
      </c>
      <c r="B18" t="str">
        <f t="shared" si="0"/>
        <v>17 - caracol de Paposo</v>
      </c>
      <c r="C18" t="str">
        <f t="shared" si="1"/>
        <v>caracol de Paposo</v>
      </c>
      <c r="D18" s="1" t="s">
        <v>53</v>
      </c>
      <c r="E18" t="s">
        <v>54</v>
      </c>
      <c r="F18" t="s">
        <v>55</v>
      </c>
      <c r="G18" t="s">
        <v>17</v>
      </c>
      <c r="H18" s="2" t="s">
        <v>56</v>
      </c>
      <c r="I18" s="2" t="s">
        <v>57</v>
      </c>
      <c r="J18" s="3" t="s">
        <v>58</v>
      </c>
      <c r="K18">
        <v>1</v>
      </c>
      <c r="L18">
        <v>1</v>
      </c>
      <c r="M18" t="s">
        <v>59</v>
      </c>
      <c r="N18">
        <v>1</v>
      </c>
      <c r="O18" t="s">
        <v>60</v>
      </c>
      <c r="Q18" t="s">
        <v>693</v>
      </c>
    </row>
    <row r="19" spans="1:17" ht="14.5" customHeight="1">
      <c r="A19">
        <v>17</v>
      </c>
      <c r="B19" t="str">
        <f t="shared" si="0"/>
        <v>17 - caracol de Paposo</v>
      </c>
      <c r="C19" t="str">
        <f t="shared" si="1"/>
        <v>caracol de Paposo</v>
      </c>
      <c r="D19" s="1" t="s">
        <v>53</v>
      </c>
      <c r="E19" t="s">
        <v>54</v>
      </c>
      <c r="F19" t="s">
        <v>55</v>
      </c>
      <c r="G19" t="s">
        <v>17</v>
      </c>
      <c r="H19" s="2" t="s">
        <v>61</v>
      </c>
      <c r="I19" s="2" t="s">
        <v>62</v>
      </c>
      <c r="J19" s="3" t="s">
        <v>63</v>
      </c>
      <c r="K19">
        <v>0</v>
      </c>
      <c r="L19">
        <v>1</v>
      </c>
      <c r="M19" t="s">
        <v>59</v>
      </c>
      <c r="N19">
        <v>0</v>
      </c>
      <c r="O19" t="s">
        <v>64</v>
      </c>
      <c r="P19">
        <v>1</v>
      </c>
      <c r="Q19" t="s">
        <v>693</v>
      </c>
    </row>
    <row r="20" spans="1:17" ht="14.5" customHeight="1">
      <c r="A20">
        <v>17</v>
      </c>
      <c r="B20" t="str">
        <f t="shared" si="0"/>
        <v>17 - caracol de Paposo</v>
      </c>
      <c r="C20" t="str">
        <f t="shared" si="1"/>
        <v>caracol de Paposo</v>
      </c>
      <c r="D20" s="1" t="s">
        <v>53</v>
      </c>
      <c r="E20" t="s">
        <v>54</v>
      </c>
      <c r="F20" t="s">
        <v>55</v>
      </c>
      <c r="G20" t="s">
        <v>17</v>
      </c>
      <c r="H20" s="2" t="s">
        <v>65</v>
      </c>
      <c r="I20" s="2" t="s">
        <v>66</v>
      </c>
      <c r="J20" s="3" t="s">
        <v>67</v>
      </c>
      <c r="K20">
        <v>1</v>
      </c>
      <c r="L20">
        <v>1</v>
      </c>
      <c r="M20" t="s">
        <v>59</v>
      </c>
      <c r="N20">
        <v>0</v>
      </c>
      <c r="O20" t="s">
        <v>64</v>
      </c>
      <c r="P20">
        <v>0</v>
      </c>
      <c r="Q20" t="s">
        <v>693</v>
      </c>
    </row>
    <row r="21" spans="1:17" ht="14.5" customHeight="1">
      <c r="A21">
        <v>17</v>
      </c>
      <c r="B21" t="str">
        <f t="shared" si="0"/>
        <v>17 - caracol de Paposo</v>
      </c>
      <c r="C21" t="str">
        <f t="shared" si="1"/>
        <v>caracol de Paposo</v>
      </c>
      <c r="D21" s="1" t="s">
        <v>53</v>
      </c>
      <c r="E21" t="s">
        <v>54</v>
      </c>
      <c r="F21" t="s">
        <v>55</v>
      </c>
      <c r="G21" t="s">
        <v>17</v>
      </c>
      <c r="H21" s="2" t="s">
        <v>68</v>
      </c>
      <c r="I21" s="2" t="s">
        <v>69</v>
      </c>
      <c r="J21" s="3" t="s">
        <v>70</v>
      </c>
      <c r="K21">
        <v>1</v>
      </c>
      <c r="L21">
        <v>1</v>
      </c>
      <c r="M21" t="s">
        <v>59</v>
      </c>
      <c r="N21">
        <v>0</v>
      </c>
      <c r="O21" t="s">
        <v>64</v>
      </c>
      <c r="P21">
        <v>1</v>
      </c>
      <c r="Q21" t="s">
        <v>693</v>
      </c>
    </row>
    <row r="22" spans="1:17" ht="14.5" hidden="1" customHeight="1">
      <c r="A22">
        <v>18</v>
      </c>
      <c r="B22" t="str">
        <f t="shared" si="0"/>
        <v>18 - Cnemalobus pegnai</v>
      </c>
      <c r="C22" t="str">
        <f t="shared" si="1"/>
        <v>Cnemalobus pegnai</v>
      </c>
      <c r="D22" s="1" t="s">
        <v>71</v>
      </c>
      <c r="F22" t="s">
        <v>45</v>
      </c>
      <c r="G22" t="s">
        <v>17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693</v>
      </c>
    </row>
    <row r="23" spans="1:17" ht="14.5" hidden="1" customHeight="1">
      <c r="A23">
        <v>19</v>
      </c>
      <c r="B23" t="str">
        <f t="shared" si="0"/>
        <v>19 - balita de Barriga</v>
      </c>
      <c r="C23" t="str">
        <f t="shared" si="1"/>
        <v>balita de Barriga</v>
      </c>
      <c r="D23" s="1" t="s">
        <v>72</v>
      </c>
      <c r="E23" t="s">
        <v>73</v>
      </c>
      <c r="F23" t="s">
        <v>45</v>
      </c>
      <c r="G23" t="s">
        <v>17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693</v>
      </c>
    </row>
    <row r="24" spans="1:17" ht="14.5" hidden="1" customHeight="1">
      <c r="A24">
        <v>20</v>
      </c>
      <c r="B24" t="str">
        <f t="shared" si="0"/>
        <v>20 - tenebrio de Wilson</v>
      </c>
      <c r="C24" t="str">
        <f t="shared" si="1"/>
        <v>tenebrio de Wilson</v>
      </c>
      <c r="D24" s="1" t="s">
        <v>74</v>
      </c>
      <c r="E24" t="s">
        <v>75</v>
      </c>
      <c r="F24" t="s">
        <v>45</v>
      </c>
      <c r="G24" t="s">
        <v>17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693</v>
      </c>
    </row>
    <row r="25" spans="1:17" ht="14.5" hidden="1" customHeight="1">
      <c r="A25">
        <v>21</v>
      </c>
      <c r="B25" t="str">
        <f t="shared" si="0"/>
        <v>21 - araña pollito</v>
      </c>
      <c r="C25" t="str">
        <f t="shared" si="1"/>
        <v>araña pollito</v>
      </c>
      <c r="D25" s="1" t="s">
        <v>76</v>
      </c>
      <c r="E25" t="s">
        <v>77</v>
      </c>
      <c r="F25" t="s">
        <v>16</v>
      </c>
      <c r="G25" t="s">
        <v>17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693</v>
      </c>
    </row>
    <row r="26" spans="1:17" ht="14.5" hidden="1" customHeight="1">
      <c r="A26">
        <v>22</v>
      </c>
      <c r="B26" t="str">
        <f t="shared" si="0"/>
        <v>22 - araña pollito</v>
      </c>
      <c r="C26" t="str">
        <f t="shared" si="1"/>
        <v>araña pollito</v>
      </c>
      <c r="D26" s="1" t="s">
        <v>78</v>
      </c>
      <c r="E26" t="s">
        <v>77</v>
      </c>
      <c r="F26" t="s">
        <v>16</v>
      </c>
      <c r="G26" t="s">
        <v>17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693</v>
      </c>
    </row>
    <row r="27" spans="1:17" ht="14.5" hidden="1" customHeight="1">
      <c r="A27">
        <v>23</v>
      </c>
      <c r="B27" t="str">
        <f t="shared" si="0"/>
        <v>23 - araña pollito</v>
      </c>
      <c r="C27" t="str">
        <f t="shared" si="1"/>
        <v>araña pollito</v>
      </c>
      <c r="D27" s="1" t="s">
        <v>79</v>
      </c>
      <c r="E27" t="s">
        <v>77</v>
      </c>
      <c r="F27" t="s">
        <v>16</v>
      </c>
      <c r="G27" t="s">
        <v>17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693</v>
      </c>
    </row>
    <row r="28" spans="1:17" ht="14.5" hidden="1" customHeight="1">
      <c r="A28">
        <v>24</v>
      </c>
      <c r="B28" t="str">
        <f t="shared" si="0"/>
        <v>24 - tarántula enana</v>
      </c>
      <c r="C28" t="str">
        <f t="shared" si="1"/>
        <v>tarántula enana</v>
      </c>
      <c r="D28" s="1" t="s">
        <v>80</v>
      </c>
      <c r="E28" t="s">
        <v>81</v>
      </c>
      <c r="F28" t="s">
        <v>16</v>
      </c>
      <c r="G28" t="s">
        <v>17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693</v>
      </c>
    </row>
    <row r="29" spans="1:17" ht="14.5" customHeight="1">
      <c r="A29">
        <v>25</v>
      </c>
      <c r="B29" t="str">
        <f t="shared" si="0"/>
        <v>25 - picaflor de Arica</v>
      </c>
      <c r="C29" t="str">
        <f t="shared" si="1"/>
        <v>picaflor de Arica</v>
      </c>
      <c r="D29" s="1" t="s">
        <v>82</v>
      </c>
      <c r="E29" t="s">
        <v>83</v>
      </c>
      <c r="F29" t="s">
        <v>38</v>
      </c>
      <c r="G29" t="s">
        <v>17</v>
      </c>
      <c r="H29" s="2" t="s">
        <v>84</v>
      </c>
      <c r="I29" s="2" t="s">
        <v>85</v>
      </c>
      <c r="J29" s="4" t="s">
        <v>86</v>
      </c>
      <c r="K29">
        <v>0</v>
      </c>
      <c r="L29">
        <v>1</v>
      </c>
      <c r="M29" t="s">
        <v>59</v>
      </c>
      <c r="N29">
        <v>1</v>
      </c>
      <c r="O29" t="s">
        <v>64</v>
      </c>
      <c r="P29">
        <v>1</v>
      </c>
      <c r="Q29" t="s">
        <v>693</v>
      </c>
    </row>
    <row r="30" spans="1:17" ht="14.5" customHeight="1">
      <c r="A30">
        <v>25</v>
      </c>
      <c r="B30" t="str">
        <f t="shared" si="0"/>
        <v>25 - picaflor de Arica</v>
      </c>
      <c r="C30" t="str">
        <f t="shared" si="1"/>
        <v>picaflor de Arica</v>
      </c>
      <c r="D30" s="1" t="s">
        <v>82</v>
      </c>
      <c r="E30" t="s">
        <v>83</v>
      </c>
      <c r="F30" t="s">
        <v>38</v>
      </c>
      <c r="G30" t="s">
        <v>17</v>
      </c>
      <c r="H30" s="2" t="s">
        <v>87</v>
      </c>
      <c r="I30" s="2" t="s">
        <v>62</v>
      </c>
      <c r="J30" s="4" t="s">
        <v>88</v>
      </c>
      <c r="K30">
        <v>1</v>
      </c>
      <c r="L30">
        <v>1</v>
      </c>
      <c r="M30" t="s">
        <v>59</v>
      </c>
      <c r="N30">
        <v>1</v>
      </c>
      <c r="O30" t="s">
        <v>89</v>
      </c>
      <c r="P30">
        <v>1</v>
      </c>
      <c r="Q30" t="s">
        <v>693</v>
      </c>
    </row>
    <row r="31" spans="1:17" ht="14.5" customHeight="1">
      <c r="A31">
        <v>25</v>
      </c>
      <c r="B31" t="str">
        <f t="shared" si="0"/>
        <v>25 - picaflor de Arica</v>
      </c>
      <c r="C31" t="str">
        <f t="shared" si="1"/>
        <v>picaflor de Arica</v>
      </c>
      <c r="D31" s="1" t="s">
        <v>82</v>
      </c>
      <c r="E31" t="s">
        <v>83</v>
      </c>
      <c r="F31" t="s">
        <v>38</v>
      </c>
      <c r="G31" t="s">
        <v>17</v>
      </c>
      <c r="H31" s="2" t="s">
        <v>90</v>
      </c>
      <c r="I31" s="2" t="s">
        <v>91</v>
      </c>
      <c r="J31" s="4" t="s">
        <v>92</v>
      </c>
      <c r="K31">
        <v>1</v>
      </c>
      <c r="L31">
        <v>1</v>
      </c>
      <c r="M31" t="s">
        <v>93</v>
      </c>
      <c r="N31">
        <v>1</v>
      </c>
      <c r="O31" t="s">
        <v>89</v>
      </c>
      <c r="P31">
        <v>1</v>
      </c>
      <c r="Q31" t="s">
        <v>693</v>
      </c>
    </row>
    <row r="32" spans="1:17" ht="14.5" customHeight="1">
      <c r="A32">
        <v>25</v>
      </c>
      <c r="B32" t="str">
        <f t="shared" si="0"/>
        <v>25 - picaflor de Arica</v>
      </c>
      <c r="C32" t="str">
        <f t="shared" si="1"/>
        <v>picaflor de Arica</v>
      </c>
      <c r="D32" s="1" t="s">
        <v>82</v>
      </c>
      <c r="E32" t="s">
        <v>83</v>
      </c>
      <c r="F32" t="s">
        <v>38</v>
      </c>
      <c r="G32" t="s">
        <v>17</v>
      </c>
      <c r="H32" s="2" t="s">
        <v>94</v>
      </c>
      <c r="I32" s="2" t="s">
        <v>95</v>
      </c>
      <c r="J32" s="4" t="s">
        <v>96</v>
      </c>
      <c r="K32">
        <v>1</v>
      </c>
      <c r="L32">
        <v>1</v>
      </c>
      <c r="M32" t="s">
        <v>59</v>
      </c>
      <c r="N32">
        <v>1</v>
      </c>
      <c r="O32" t="s">
        <v>97</v>
      </c>
      <c r="P32">
        <v>1</v>
      </c>
      <c r="Q32" t="s">
        <v>693</v>
      </c>
    </row>
    <row r="33" spans="1:17" ht="14.5" customHeight="1">
      <c r="A33">
        <v>25</v>
      </c>
      <c r="B33" t="str">
        <f t="shared" si="0"/>
        <v>25 - picaflor de Arica</v>
      </c>
      <c r="C33" t="str">
        <f t="shared" si="1"/>
        <v>picaflor de Arica</v>
      </c>
      <c r="D33" s="1" t="s">
        <v>82</v>
      </c>
      <c r="E33" t="s">
        <v>83</v>
      </c>
      <c r="F33" t="s">
        <v>38</v>
      </c>
      <c r="G33" t="s">
        <v>17</v>
      </c>
      <c r="H33" s="2" t="s">
        <v>98</v>
      </c>
      <c r="I33" s="2" t="s">
        <v>66</v>
      </c>
      <c r="J33" s="4" t="s">
        <v>99</v>
      </c>
      <c r="K33">
        <v>1</v>
      </c>
      <c r="L33">
        <v>1</v>
      </c>
      <c r="M33" t="s">
        <v>59</v>
      </c>
      <c r="N33">
        <v>1</v>
      </c>
      <c r="O33" t="s">
        <v>89</v>
      </c>
      <c r="P33">
        <v>1</v>
      </c>
      <c r="Q33" t="s">
        <v>693</v>
      </c>
    </row>
    <row r="34" spans="1:17" ht="14.5" customHeight="1">
      <c r="A34">
        <v>25</v>
      </c>
      <c r="B34" t="str">
        <f t="shared" si="0"/>
        <v>25 - picaflor de Arica</v>
      </c>
      <c r="C34" t="str">
        <f t="shared" si="1"/>
        <v>picaflor de Arica</v>
      </c>
      <c r="D34" s="1" t="s">
        <v>82</v>
      </c>
      <c r="E34" t="s">
        <v>83</v>
      </c>
      <c r="F34" t="s">
        <v>38</v>
      </c>
      <c r="G34" t="s">
        <v>17</v>
      </c>
      <c r="H34" s="2" t="s">
        <v>100</v>
      </c>
      <c r="I34" s="2" t="s">
        <v>101</v>
      </c>
      <c r="J34" s="4" t="s">
        <v>102</v>
      </c>
      <c r="K34">
        <v>1</v>
      </c>
      <c r="L34">
        <v>1</v>
      </c>
      <c r="M34" t="s">
        <v>59</v>
      </c>
      <c r="N34">
        <v>1</v>
      </c>
      <c r="O34" t="s">
        <v>89</v>
      </c>
      <c r="P34">
        <v>1</v>
      </c>
      <c r="Q34" t="s">
        <v>693</v>
      </c>
    </row>
    <row r="35" spans="1:17" ht="14.5" customHeight="1">
      <c r="A35">
        <v>25</v>
      </c>
      <c r="B35" t="str">
        <f t="shared" si="0"/>
        <v>25 - picaflor de Arica</v>
      </c>
      <c r="C35" t="str">
        <f t="shared" si="1"/>
        <v>picaflor de Arica</v>
      </c>
      <c r="D35" s="1" t="s">
        <v>82</v>
      </c>
      <c r="E35" t="s">
        <v>83</v>
      </c>
      <c r="F35" t="s">
        <v>38</v>
      </c>
      <c r="G35" t="s">
        <v>17</v>
      </c>
      <c r="H35" s="2" t="s">
        <v>103</v>
      </c>
      <c r="I35" s="2" t="s">
        <v>104</v>
      </c>
      <c r="J35" s="4" t="s">
        <v>105</v>
      </c>
      <c r="K35">
        <v>0</v>
      </c>
      <c r="L35">
        <v>1</v>
      </c>
      <c r="M35" t="s">
        <v>59</v>
      </c>
      <c r="N35">
        <v>1</v>
      </c>
      <c r="O35" t="s">
        <v>97</v>
      </c>
      <c r="P35">
        <v>1</v>
      </c>
      <c r="Q35" t="s">
        <v>693</v>
      </c>
    </row>
    <row r="36" spans="1:17" ht="14.5" customHeight="1">
      <c r="A36">
        <v>25</v>
      </c>
      <c r="B36" t="str">
        <f t="shared" si="0"/>
        <v>25 - picaflor de Arica</v>
      </c>
      <c r="C36" t="str">
        <f t="shared" si="1"/>
        <v>picaflor de Arica</v>
      </c>
      <c r="D36" s="1" t="s">
        <v>82</v>
      </c>
      <c r="E36" t="s">
        <v>83</v>
      </c>
      <c r="F36" t="s">
        <v>38</v>
      </c>
      <c r="G36" t="s">
        <v>17</v>
      </c>
      <c r="H36" s="2" t="s">
        <v>106</v>
      </c>
      <c r="I36" s="2" t="s">
        <v>107</v>
      </c>
      <c r="J36" s="4" t="s">
        <v>108</v>
      </c>
      <c r="K36" s="2">
        <v>1</v>
      </c>
      <c r="L36">
        <v>1</v>
      </c>
      <c r="M36" t="s">
        <v>59</v>
      </c>
      <c r="N36">
        <v>1</v>
      </c>
      <c r="O36" t="s">
        <v>64</v>
      </c>
      <c r="P36">
        <v>1</v>
      </c>
      <c r="Q36" t="s">
        <v>693</v>
      </c>
    </row>
    <row r="37" spans="1:17" ht="14.5" hidden="1" customHeight="1">
      <c r="A37">
        <v>26</v>
      </c>
      <c r="B37" t="str">
        <f t="shared" si="0"/>
        <v>26 - aguilucho de Más Afuera</v>
      </c>
      <c r="C37" t="str">
        <f t="shared" si="1"/>
        <v>aguilucho de Más Afuera</v>
      </c>
      <c r="D37" s="1" t="s">
        <v>109</v>
      </c>
      <c r="E37" t="s">
        <v>110</v>
      </c>
      <c r="F37" t="s">
        <v>38</v>
      </c>
      <c r="G37" t="s">
        <v>17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693</v>
      </c>
    </row>
    <row r="38" spans="1:17" ht="14.5" hidden="1" customHeight="1">
      <c r="A38">
        <v>27</v>
      </c>
      <c r="B38" t="str">
        <f t="shared" si="0"/>
        <v>27 - caracol</v>
      </c>
      <c r="C38" t="str">
        <f t="shared" si="1"/>
        <v>caracol</v>
      </c>
      <c r="D38" s="1" t="s">
        <v>111</v>
      </c>
      <c r="E38" t="s">
        <v>32</v>
      </c>
      <c r="F38" t="s">
        <v>33</v>
      </c>
      <c r="G38" t="s">
        <v>17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693</v>
      </c>
    </row>
    <row r="39" spans="1:17" ht="14.5" hidden="1" customHeight="1">
      <c r="A39">
        <v>28</v>
      </c>
      <c r="B39" t="str">
        <f t="shared" si="0"/>
        <v>28 - caracol</v>
      </c>
      <c r="C39" t="str">
        <f t="shared" si="1"/>
        <v>caracol</v>
      </c>
      <c r="D39" s="1" t="s">
        <v>112</v>
      </c>
      <c r="E39" t="s">
        <v>32</v>
      </c>
      <c r="F39" t="s">
        <v>33</v>
      </c>
      <c r="G39" t="s">
        <v>17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693</v>
      </c>
    </row>
    <row r="40" spans="1:17" ht="14.5" hidden="1" customHeight="1">
      <c r="A40">
        <v>29</v>
      </c>
      <c r="B40" t="str">
        <f t="shared" si="0"/>
        <v>29 - lagartija de Lolol</v>
      </c>
      <c r="C40" t="str">
        <f t="shared" si="1"/>
        <v>lagartija de Lolol</v>
      </c>
      <c r="D40" s="1" t="s">
        <v>113</v>
      </c>
      <c r="E40" t="s">
        <v>114</v>
      </c>
      <c r="F40" t="s">
        <v>115</v>
      </c>
      <c r="G40" t="s">
        <v>17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693</v>
      </c>
    </row>
    <row r="41" spans="1:17" ht="14.5" hidden="1" customHeight="1">
      <c r="A41">
        <v>30</v>
      </c>
      <c r="B41" t="str">
        <f t="shared" si="0"/>
        <v>30 - lagarto negro</v>
      </c>
      <c r="C41" t="str">
        <f t="shared" si="1"/>
        <v>lagarto negro</v>
      </c>
      <c r="D41" s="1" t="s">
        <v>116</v>
      </c>
      <c r="E41" t="s">
        <v>117</v>
      </c>
      <c r="F41" t="s">
        <v>115</v>
      </c>
      <c r="G41" t="s">
        <v>17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693</v>
      </c>
    </row>
    <row r="42" spans="1:17" ht="14.5" hidden="1" customHeight="1">
      <c r="A42">
        <v>31</v>
      </c>
      <c r="B42" t="str">
        <f t="shared" si="0"/>
        <v>31 - lagartija de Herman Núñez</v>
      </c>
      <c r="C42" t="str">
        <f t="shared" si="1"/>
        <v>lagartija de Herman Núñez</v>
      </c>
      <c r="D42" s="1" t="s">
        <v>118</v>
      </c>
      <c r="E42" t="s">
        <v>119</v>
      </c>
      <c r="F42" t="s">
        <v>115</v>
      </c>
      <c r="G42" t="s">
        <v>17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693</v>
      </c>
    </row>
    <row r="43" spans="1:17" ht="14.5" hidden="1" customHeight="1">
      <c r="A43">
        <v>32</v>
      </c>
      <c r="B43" t="str">
        <f t="shared" si="0"/>
        <v>32 - lagartija</v>
      </c>
      <c r="C43" t="str">
        <f t="shared" si="1"/>
        <v>lagartija</v>
      </c>
      <c r="D43" s="1" t="s">
        <v>120</v>
      </c>
      <c r="E43" t="s">
        <v>121</v>
      </c>
      <c r="F43" t="s">
        <v>115</v>
      </c>
      <c r="G43" t="s">
        <v>17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693</v>
      </c>
    </row>
    <row r="44" spans="1:17" ht="14.5" hidden="1" customHeight="1">
      <c r="A44">
        <v>33</v>
      </c>
      <c r="B44" t="str">
        <f t="shared" si="0"/>
        <v>33 - lagarto leopardo de Norma</v>
      </c>
      <c r="C44" t="str">
        <f t="shared" si="1"/>
        <v>lagarto leopardo de Norma</v>
      </c>
      <c r="D44" s="1" t="s">
        <v>122</v>
      </c>
      <c r="E44" t="s">
        <v>123</v>
      </c>
      <c r="F44" t="s">
        <v>115</v>
      </c>
      <c r="G44" t="s">
        <v>17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693</v>
      </c>
    </row>
    <row r="45" spans="1:17" ht="14.5" hidden="1" customHeight="1">
      <c r="A45">
        <v>34</v>
      </c>
      <c r="B45" t="str">
        <f t="shared" si="0"/>
        <v>34 - Nigroperla costalis</v>
      </c>
      <c r="C45" t="str">
        <f t="shared" si="1"/>
        <v>Nigroperla costalis</v>
      </c>
      <c r="D45" s="1" t="s">
        <v>124</v>
      </c>
      <c r="F45" t="s">
        <v>45</v>
      </c>
      <c r="G45" t="s">
        <v>17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693</v>
      </c>
    </row>
    <row r="46" spans="1:17" ht="14.5" hidden="1" customHeight="1">
      <c r="A46">
        <v>35</v>
      </c>
      <c r="B46" t="str">
        <f t="shared" si="0"/>
        <v>35 - tenebrio de Peña</v>
      </c>
      <c r="C46" t="str">
        <f t="shared" si="1"/>
        <v>tenebrio de Peña</v>
      </c>
      <c r="D46" s="1" t="s">
        <v>125</v>
      </c>
      <c r="E46" t="s">
        <v>126</v>
      </c>
      <c r="F46" t="s">
        <v>45</v>
      </c>
      <c r="G46" t="s">
        <v>17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693</v>
      </c>
    </row>
    <row r="47" spans="1:17" ht="14.5" hidden="1" customHeight="1">
      <c r="A47">
        <v>36</v>
      </c>
      <c r="B47" t="str">
        <f t="shared" si="0"/>
        <v>36 - caracol terrestre Omalonyx</v>
      </c>
      <c r="C47" t="str">
        <f t="shared" si="1"/>
        <v>caracol terrestre Omalonyx</v>
      </c>
      <c r="D47" s="1" t="s">
        <v>127</v>
      </c>
      <c r="E47" t="s">
        <v>128</v>
      </c>
      <c r="F47" t="s">
        <v>33</v>
      </c>
      <c r="G47" t="s">
        <v>17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693</v>
      </c>
    </row>
    <row r="48" spans="1:17" ht="14.5" hidden="1" customHeight="1">
      <c r="A48">
        <v>37</v>
      </c>
      <c r="B48" t="str">
        <f t="shared" si="0"/>
        <v>37 - pez (genérico)</v>
      </c>
      <c r="C48" t="str">
        <f t="shared" si="1"/>
        <v>pez (genérico)</v>
      </c>
      <c r="D48" s="1" t="s">
        <v>129</v>
      </c>
      <c r="E48" t="s">
        <v>130</v>
      </c>
      <c r="F48" t="s">
        <v>131</v>
      </c>
      <c r="G48" t="s">
        <v>17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693</v>
      </c>
    </row>
    <row r="49" spans="1:17" ht="14.5" hidden="1" customHeight="1">
      <c r="A49">
        <v>38</v>
      </c>
      <c r="B49" t="str">
        <f t="shared" si="0"/>
        <v>38 - karachi</v>
      </c>
      <c r="C49" t="str">
        <f t="shared" si="1"/>
        <v>karachi</v>
      </c>
      <c r="D49" s="1" t="s">
        <v>132</v>
      </c>
      <c r="E49" t="s">
        <v>133</v>
      </c>
      <c r="F49" t="s">
        <v>131</v>
      </c>
      <c r="G49" t="s">
        <v>17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693</v>
      </c>
    </row>
    <row r="50" spans="1:17" ht="14.5" hidden="1" customHeight="1">
      <c r="A50">
        <v>39</v>
      </c>
      <c r="B50" t="str">
        <f t="shared" si="0"/>
        <v>39 - Escama  gigante de palma chilena</v>
      </c>
      <c r="C50" t="str">
        <f t="shared" si="1"/>
        <v>Escama  gigante de palma chilena</v>
      </c>
      <c r="D50" s="1" t="s">
        <v>134</v>
      </c>
      <c r="E50" t="s">
        <v>135</v>
      </c>
      <c r="F50" t="s">
        <v>45</v>
      </c>
      <c r="G50" t="s">
        <v>17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693</v>
      </c>
    </row>
    <row r="51" spans="1:17" ht="14.5" hidden="1" customHeight="1">
      <c r="A51">
        <v>40</v>
      </c>
      <c r="B51" t="str">
        <f t="shared" si="0"/>
        <v>40 - Paraholopterus nahuelbutensis</v>
      </c>
      <c r="C51" t="str">
        <f t="shared" si="1"/>
        <v>Paraholopterus nahuelbutensis</v>
      </c>
      <c r="D51" s="1" t="s">
        <v>136</v>
      </c>
      <c r="F51" t="s">
        <v>45</v>
      </c>
      <c r="G51" t="s">
        <v>17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693</v>
      </c>
    </row>
    <row r="52" spans="1:17" ht="14.5" hidden="1" customHeight="1">
      <c r="A52">
        <v>41</v>
      </c>
      <c r="B52" t="str">
        <f t="shared" si="0"/>
        <v>41 - matuasto de Alicahue</v>
      </c>
      <c r="C52" t="str">
        <f t="shared" si="1"/>
        <v>matuasto de Alicahue</v>
      </c>
      <c r="D52" s="1" t="s">
        <v>137</v>
      </c>
      <c r="E52" t="s">
        <v>138</v>
      </c>
      <c r="F52" t="s">
        <v>115</v>
      </c>
      <c r="G52" t="s">
        <v>17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693</v>
      </c>
    </row>
    <row r="53" spans="1:17" ht="14.5" hidden="1" customHeight="1">
      <c r="A53">
        <v>42</v>
      </c>
      <c r="B53" t="str">
        <f t="shared" si="0"/>
        <v>42 - matuasto del Laja</v>
      </c>
      <c r="C53" t="str">
        <f t="shared" si="1"/>
        <v>matuasto del Laja</v>
      </c>
      <c r="D53" s="1" t="s">
        <v>139</v>
      </c>
      <c r="E53" t="s">
        <v>140</v>
      </c>
      <c r="F53" t="s">
        <v>115</v>
      </c>
      <c r="G53" t="s">
        <v>17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693</v>
      </c>
    </row>
    <row r="54" spans="1:17" ht="14.5" hidden="1" customHeight="1">
      <c r="A54">
        <v>43</v>
      </c>
      <c r="B54" t="str">
        <f t="shared" si="0"/>
        <v>43 - caracol costilludo de Hualpén</v>
      </c>
      <c r="C54" t="str">
        <f t="shared" si="1"/>
        <v>caracol costilludo de Hualpén</v>
      </c>
      <c r="D54" s="1" t="s">
        <v>141</v>
      </c>
      <c r="E54" t="s">
        <v>142</v>
      </c>
      <c r="F54" t="s">
        <v>33</v>
      </c>
      <c r="G54" t="s">
        <v>17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693</v>
      </c>
    </row>
    <row r="55" spans="1:17" ht="14.5" hidden="1" customHeight="1">
      <c r="A55">
        <v>44</v>
      </c>
      <c r="B55" t="str">
        <f t="shared" si="0"/>
        <v>44 - Praocis medvedevi</v>
      </c>
      <c r="C55" t="str">
        <f t="shared" si="1"/>
        <v>Praocis medvedevi</v>
      </c>
      <c r="D55" s="1" t="s">
        <v>143</v>
      </c>
      <c r="F55" t="s">
        <v>45</v>
      </c>
      <c r="G55" t="s">
        <v>17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693</v>
      </c>
    </row>
    <row r="56" spans="1:17" ht="14.5" customHeight="1">
      <c r="A56">
        <v>45</v>
      </c>
      <c r="B56" t="str">
        <f t="shared" si="0"/>
        <v>45 - lagarto gruñidor de Álvaro</v>
      </c>
      <c r="C56" t="str">
        <f t="shared" si="1"/>
        <v>lagarto gruñidor de Álvaro</v>
      </c>
      <c r="D56" s="1" t="s">
        <v>144</v>
      </c>
      <c r="E56" t="s">
        <v>145</v>
      </c>
      <c r="F56" t="s">
        <v>115</v>
      </c>
      <c r="G56" t="s">
        <v>17</v>
      </c>
      <c r="H56" s="2" t="s">
        <v>56</v>
      </c>
      <c r="I56" s="2" t="s">
        <v>57</v>
      </c>
      <c r="J56" s="3" t="s">
        <v>58</v>
      </c>
      <c r="K56">
        <v>1</v>
      </c>
      <c r="L56">
        <v>1</v>
      </c>
      <c r="M56" t="s">
        <v>59</v>
      </c>
      <c r="N56">
        <v>1</v>
      </c>
      <c r="O56" t="s">
        <v>60</v>
      </c>
      <c r="P56">
        <v>0</v>
      </c>
      <c r="Q56" t="s">
        <v>693</v>
      </c>
    </row>
    <row r="57" spans="1:17" ht="14.5" customHeight="1">
      <c r="A57">
        <v>45</v>
      </c>
      <c r="B57" t="str">
        <f t="shared" si="0"/>
        <v>45 - lagarto gruñidor de Álvaro</v>
      </c>
      <c r="C57" t="str">
        <f t="shared" si="1"/>
        <v>lagarto gruñidor de Álvaro</v>
      </c>
      <c r="D57" s="1" t="s">
        <v>144</v>
      </c>
      <c r="E57" t="s">
        <v>145</v>
      </c>
      <c r="F57" t="s">
        <v>115</v>
      </c>
      <c r="G57" t="s">
        <v>17</v>
      </c>
      <c r="H57" s="2" t="s">
        <v>146</v>
      </c>
      <c r="I57" s="2" t="s">
        <v>147</v>
      </c>
      <c r="J57" s="3" t="s">
        <v>148</v>
      </c>
      <c r="K57">
        <v>1</v>
      </c>
      <c r="L57">
        <v>1</v>
      </c>
      <c r="M57" t="s">
        <v>149</v>
      </c>
      <c r="N57">
        <v>1</v>
      </c>
      <c r="O57" t="s">
        <v>150</v>
      </c>
      <c r="Q57" t="s">
        <v>693</v>
      </c>
    </row>
    <row r="58" spans="1:17" ht="14.5" customHeight="1">
      <c r="A58">
        <v>45</v>
      </c>
      <c r="B58" t="str">
        <f t="shared" si="0"/>
        <v>45 - lagarto gruñidor de Álvaro</v>
      </c>
      <c r="C58" t="str">
        <f t="shared" si="1"/>
        <v>lagarto gruñidor de Álvaro</v>
      </c>
      <c r="D58" s="1" t="s">
        <v>144</v>
      </c>
      <c r="E58" t="s">
        <v>145</v>
      </c>
      <c r="F58" t="s">
        <v>115</v>
      </c>
      <c r="G58" t="s">
        <v>17</v>
      </c>
      <c r="H58" s="2" t="s">
        <v>151</v>
      </c>
      <c r="I58" s="2" t="s">
        <v>152</v>
      </c>
      <c r="J58" s="3" t="s">
        <v>153</v>
      </c>
      <c r="K58">
        <v>0</v>
      </c>
      <c r="L58">
        <v>1</v>
      </c>
      <c r="M58" t="s">
        <v>59</v>
      </c>
      <c r="N58">
        <v>0</v>
      </c>
      <c r="O58" t="s">
        <v>64</v>
      </c>
      <c r="P58">
        <v>0</v>
      </c>
      <c r="Q58" t="s">
        <v>693</v>
      </c>
    </row>
    <row r="59" spans="1:17" ht="14.5" customHeight="1">
      <c r="A59">
        <v>45</v>
      </c>
      <c r="B59" t="str">
        <f t="shared" si="0"/>
        <v>45 - lagarto gruñidor de Álvaro</v>
      </c>
      <c r="C59" t="str">
        <f t="shared" si="1"/>
        <v>lagarto gruñidor de Álvaro</v>
      </c>
      <c r="D59" s="1" t="s">
        <v>144</v>
      </c>
      <c r="E59" t="s">
        <v>145</v>
      </c>
      <c r="F59" t="s">
        <v>115</v>
      </c>
      <c r="G59" t="s">
        <v>17</v>
      </c>
      <c r="H59" s="2" t="s">
        <v>61</v>
      </c>
      <c r="I59" s="2" t="s">
        <v>62</v>
      </c>
      <c r="J59" s="3" t="s">
        <v>63</v>
      </c>
      <c r="K59">
        <v>0</v>
      </c>
      <c r="L59">
        <v>1</v>
      </c>
      <c r="M59" t="s">
        <v>59</v>
      </c>
      <c r="N59">
        <v>0</v>
      </c>
      <c r="O59" t="s">
        <v>64</v>
      </c>
      <c r="P59">
        <v>1</v>
      </c>
      <c r="Q59" t="s">
        <v>693</v>
      </c>
    </row>
    <row r="60" spans="1:17" ht="14.5" customHeight="1">
      <c r="A60">
        <v>45</v>
      </c>
      <c r="B60" t="str">
        <f t="shared" si="0"/>
        <v>45 - lagarto gruñidor de Álvaro</v>
      </c>
      <c r="C60" t="str">
        <f t="shared" si="1"/>
        <v>lagarto gruñidor de Álvaro</v>
      </c>
      <c r="D60" s="1" t="s">
        <v>144</v>
      </c>
      <c r="E60" t="s">
        <v>145</v>
      </c>
      <c r="F60" t="s">
        <v>115</v>
      </c>
      <c r="G60" t="s">
        <v>17</v>
      </c>
      <c r="H60" s="2" t="s">
        <v>154</v>
      </c>
      <c r="I60" s="2" t="s">
        <v>155</v>
      </c>
      <c r="J60" s="3" t="s">
        <v>156</v>
      </c>
      <c r="K60">
        <v>1</v>
      </c>
      <c r="L60">
        <v>1</v>
      </c>
      <c r="M60" t="s">
        <v>59</v>
      </c>
      <c r="N60">
        <v>1</v>
      </c>
      <c r="O60" t="s">
        <v>89</v>
      </c>
      <c r="P60">
        <v>1</v>
      </c>
      <c r="Q60" t="s">
        <v>693</v>
      </c>
    </row>
    <row r="61" spans="1:17" ht="14.5" customHeight="1">
      <c r="A61">
        <v>45</v>
      </c>
      <c r="B61" t="str">
        <f t="shared" si="0"/>
        <v>45 - lagarto gruñidor de Álvaro</v>
      </c>
      <c r="C61" t="str">
        <f t="shared" si="1"/>
        <v>lagarto gruñidor de Álvaro</v>
      </c>
      <c r="D61" s="1" t="s">
        <v>144</v>
      </c>
      <c r="E61" t="s">
        <v>145</v>
      </c>
      <c r="F61" t="s">
        <v>115</v>
      </c>
      <c r="G61" t="s">
        <v>17</v>
      </c>
      <c r="H61" s="2" t="s">
        <v>65</v>
      </c>
      <c r="I61" s="2" t="s">
        <v>66</v>
      </c>
      <c r="J61" s="3" t="s">
        <v>67</v>
      </c>
      <c r="K61">
        <v>1</v>
      </c>
      <c r="L61">
        <v>1</v>
      </c>
      <c r="M61" t="s">
        <v>59</v>
      </c>
      <c r="N61">
        <v>1</v>
      </c>
      <c r="O61" t="s">
        <v>64</v>
      </c>
      <c r="P61">
        <v>0</v>
      </c>
      <c r="Q61" t="s">
        <v>693</v>
      </c>
    </row>
    <row r="62" spans="1:17" ht="14.5" customHeight="1">
      <c r="A62">
        <v>45</v>
      </c>
      <c r="B62" t="str">
        <f t="shared" si="0"/>
        <v>45 - lagarto gruñidor de Álvaro</v>
      </c>
      <c r="C62" t="str">
        <f t="shared" si="1"/>
        <v>lagarto gruñidor de Álvaro</v>
      </c>
      <c r="D62" s="1" t="s">
        <v>144</v>
      </c>
      <c r="E62" t="s">
        <v>145</v>
      </c>
      <c r="F62" t="s">
        <v>115</v>
      </c>
      <c r="G62" t="s">
        <v>17</v>
      </c>
      <c r="H62" s="2" t="s">
        <v>68</v>
      </c>
      <c r="I62" s="2" t="s">
        <v>69</v>
      </c>
      <c r="J62" s="3" t="s">
        <v>70</v>
      </c>
      <c r="K62">
        <v>1</v>
      </c>
      <c r="L62">
        <v>1</v>
      </c>
      <c r="M62" t="s">
        <v>59</v>
      </c>
      <c r="N62">
        <v>1</v>
      </c>
      <c r="O62" t="s">
        <v>64</v>
      </c>
      <c r="P62">
        <v>1</v>
      </c>
      <c r="Q62" t="s">
        <v>693</v>
      </c>
    </row>
    <row r="63" spans="1:17" ht="14.5" customHeight="1">
      <c r="A63">
        <v>45</v>
      </c>
      <c r="B63" t="str">
        <f t="shared" si="0"/>
        <v>45 - lagarto gruñidor de Álvaro</v>
      </c>
      <c r="C63" t="str">
        <f t="shared" si="1"/>
        <v>lagarto gruñidor de Álvaro</v>
      </c>
      <c r="D63" s="1" t="s">
        <v>144</v>
      </c>
      <c r="E63" t="s">
        <v>145</v>
      </c>
      <c r="F63" t="s">
        <v>115</v>
      </c>
      <c r="G63" t="s">
        <v>17</v>
      </c>
      <c r="H63" s="2" t="s">
        <v>157</v>
      </c>
      <c r="I63" s="2" t="s">
        <v>158</v>
      </c>
      <c r="J63" s="3" t="s">
        <v>159</v>
      </c>
      <c r="K63">
        <v>0</v>
      </c>
      <c r="L63">
        <v>1</v>
      </c>
      <c r="M63" t="s">
        <v>59</v>
      </c>
      <c r="N63">
        <v>1</v>
      </c>
      <c r="O63" t="s">
        <v>64</v>
      </c>
      <c r="P63">
        <v>0</v>
      </c>
      <c r="Q63" t="s">
        <v>693</v>
      </c>
    </row>
    <row r="64" spans="1:17" ht="14.5" customHeight="1">
      <c r="A64">
        <v>45</v>
      </c>
      <c r="B64" t="str">
        <f t="shared" si="0"/>
        <v>45 - lagarto gruñidor de Álvaro</v>
      </c>
      <c r="C64" t="str">
        <f t="shared" si="1"/>
        <v>lagarto gruñidor de Álvaro</v>
      </c>
      <c r="D64" s="1" t="s">
        <v>144</v>
      </c>
      <c r="E64" t="s">
        <v>145</v>
      </c>
      <c r="F64" t="s">
        <v>115</v>
      </c>
      <c r="G64" t="s">
        <v>17</v>
      </c>
      <c r="H64" s="2" t="s">
        <v>160</v>
      </c>
      <c r="I64" s="2" t="s">
        <v>91</v>
      </c>
      <c r="J64" s="3" t="s">
        <v>161</v>
      </c>
      <c r="K64">
        <v>1</v>
      </c>
      <c r="L64">
        <v>1</v>
      </c>
      <c r="M64" t="s">
        <v>59</v>
      </c>
      <c r="N64">
        <v>1</v>
      </c>
      <c r="O64" t="s">
        <v>64</v>
      </c>
      <c r="P64">
        <v>1</v>
      </c>
      <c r="Q64" t="s">
        <v>693</v>
      </c>
    </row>
    <row r="65" spans="1:17" ht="14.5" hidden="1" customHeight="1">
      <c r="A65">
        <v>46</v>
      </c>
      <c r="B65" t="str">
        <f t="shared" si="0"/>
        <v>46 - pez (genérico)</v>
      </c>
      <c r="C65" t="str">
        <f t="shared" si="1"/>
        <v>pez (genérico)</v>
      </c>
      <c r="D65" s="1" t="s">
        <v>162</v>
      </c>
      <c r="E65" t="s">
        <v>130</v>
      </c>
      <c r="F65" t="s">
        <v>131</v>
      </c>
      <c r="G65" t="s">
        <v>17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693</v>
      </c>
    </row>
    <row r="66" spans="1:17" ht="14.5" hidden="1" customHeight="1">
      <c r="A66">
        <v>47</v>
      </c>
      <c r="B66" t="str">
        <f t="shared" ref="B66:B129" si="2">A66 &amp; " - " &amp; C66</f>
        <v>47 - caracol terrestre Punctum</v>
      </c>
      <c r="C66" t="str">
        <f t="shared" ref="C66:C129" si="3">IF(E66="", D66, LEFT(E66, SEARCH(",", E66 &amp; ",") - 1))</f>
        <v>caracol terrestre Punctum</v>
      </c>
      <c r="D66" s="1" t="s">
        <v>163</v>
      </c>
      <c r="E66" t="s">
        <v>164</v>
      </c>
      <c r="F66" t="s">
        <v>33</v>
      </c>
      <c r="G66" t="s">
        <v>17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693</v>
      </c>
    </row>
    <row r="67" spans="1:17" ht="14.5" hidden="1" customHeight="1">
      <c r="A67">
        <v>48</v>
      </c>
      <c r="B67" t="str">
        <f t="shared" si="2"/>
        <v>48 - caracol terrestre Punctum</v>
      </c>
      <c r="C67" t="str">
        <f t="shared" si="3"/>
        <v>caracol terrestre Punctum</v>
      </c>
      <c r="D67" s="1" t="s">
        <v>165</v>
      </c>
      <c r="E67" t="s">
        <v>164</v>
      </c>
      <c r="F67" t="s">
        <v>33</v>
      </c>
      <c r="G67" t="s">
        <v>17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693</v>
      </c>
    </row>
    <row r="68" spans="1:17" ht="14.5" customHeight="1">
      <c r="A68">
        <v>49</v>
      </c>
      <c r="B68" t="str">
        <f t="shared" si="2"/>
        <v xml:space="preserve">49 - ranita </v>
      </c>
      <c r="C68" t="str">
        <f t="shared" si="3"/>
        <v xml:space="preserve">ranita </v>
      </c>
      <c r="D68" s="1" t="s">
        <v>166</v>
      </c>
      <c r="E68" t="s">
        <v>167</v>
      </c>
      <c r="F68" t="s">
        <v>26</v>
      </c>
      <c r="G68" t="s">
        <v>17</v>
      </c>
      <c r="H68" s="2" t="s">
        <v>168</v>
      </c>
      <c r="I68" s="2" t="s">
        <v>169</v>
      </c>
      <c r="J68" s="3" t="s">
        <v>170</v>
      </c>
      <c r="K68">
        <v>1</v>
      </c>
      <c r="L68">
        <v>1</v>
      </c>
      <c r="M68" t="s">
        <v>149</v>
      </c>
      <c r="N68">
        <v>1</v>
      </c>
      <c r="O68" t="s">
        <v>171</v>
      </c>
      <c r="P68">
        <v>0</v>
      </c>
      <c r="Q68" t="s">
        <v>693</v>
      </c>
    </row>
    <row r="69" spans="1:17" ht="14.5" customHeight="1">
      <c r="A69">
        <v>49</v>
      </c>
      <c r="B69" t="str">
        <f t="shared" si="2"/>
        <v xml:space="preserve">49 - ranita </v>
      </c>
      <c r="C69" t="str">
        <f t="shared" si="3"/>
        <v xml:space="preserve">ranita </v>
      </c>
      <c r="D69" s="1" t="s">
        <v>166</v>
      </c>
      <c r="E69" t="s">
        <v>167</v>
      </c>
      <c r="F69" t="s">
        <v>26</v>
      </c>
      <c r="G69" t="s">
        <v>17</v>
      </c>
      <c r="H69" s="2" t="s">
        <v>172</v>
      </c>
      <c r="I69" s="2" t="s">
        <v>173</v>
      </c>
      <c r="J69" s="3" t="s">
        <v>174</v>
      </c>
      <c r="K69">
        <v>1</v>
      </c>
      <c r="L69">
        <v>1</v>
      </c>
      <c r="M69" t="s">
        <v>149</v>
      </c>
      <c r="N69">
        <v>0</v>
      </c>
      <c r="O69" t="s">
        <v>175</v>
      </c>
      <c r="P69">
        <v>1</v>
      </c>
      <c r="Q69" t="s">
        <v>693</v>
      </c>
    </row>
    <row r="70" spans="1:17" ht="14.5" customHeight="1">
      <c r="A70">
        <v>49</v>
      </c>
      <c r="B70" t="str">
        <f t="shared" si="2"/>
        <v xml:space="preserve">49 - ranita </v>
      </c>
      <c r="C70" t="str">
        <f t="shared" si="3"/>
        <v xml:space="preserve">ranita </v>
      </c>
      <c r="D70" s="1" t="s">
        <v>166</v>
      </c>
      <c r="E70" t="s">
        <v>167</v>
      </c>
      <c r="F70" t="s">
        <v>26</v>
      </c>
      <c r="G70" t="s">
        <v>17</v>
      </c>
      <c r="H70" s="2" t="s">
        <v>176</v>
      </c>
      <c r="I70" s="2" t="s">
        <v>177</v>
      </c>
      <c r="J70" s="3" t="s">
        <v>178</v>
      </c>
      <c r="K70">
        <v>0</v>
      </c>
      <c r="L70">
        <v>1</v>
      </c>
      <c r="M70" t="s">
        <v>149</v>
      </c>
      <c r="N70">
        <v>0</v>
      </c>
      <c r="O70" t="s">
        <v>175</v>
      </c>
      <c r="P70">
        <v>0</v>
      </c>
      <c r="Q70" t="s">
        <v>693</v>
      </c>
    </row>
    <row r="71" spans="1:17" ht="14.5" customHeight="1">
      <c r="A71">
        <v>49</v>
      </c>
      <c r="B71" t="str">
        <f t="shared" si="2"/>
        <v xml:space="preserve">49 - ranita </v>
      </c>
      <c r="C71" t="str">
        <f t="shared" si="3"/>
        <v xml:space="preserve">ranita </v>
      </c>
      <c r="D71" s="1" t="s">
        <v>166</v>
      </c>
      <c r="E71" t="s">
        <v>167</v>
      </c>
      <c r="F71" t="s">
        <v>26</v>
      </c>
      <c r="G71" t="s">
        <v>17</v>
      </c>
      <c r="H71" s="2" t="s">
        <v>179</v>
      </c>
      <c r="I71" s="2" t="s">
        <v>107</v>
      </c>
      <c r="J71" s="3" t="s">
        <v>180</v>
      </c>
      <c r="K71">
        <v>0</v>
      </c>
      <c r="L71">
        <v>1</v>
      </c>
      <c r="M71" t="s">
        <v>149</v>
      </c>
      <c r="N71">
        <v>0</v>
      </c>
      <c r="O71" t="s">
        <v>175</v>
      </c>
      <c r="P71">
        <v>0</v>
      </c>
      <c r="Q71" t="s">
        <v>693</v>
      </c>
    </row>
    <row r="72" spans="1:17" ht="14.5" customHeight="1">
      <c r="A72">
        <v>49</v>
      </c>
      <c r="B72" t="str">
        <f t="shared" si="2"/>
        <v xml:space="preserve">49 - ranita </v>
      </c>
      <c r="C72" t="str">
        <f t="shared" si="3"/>
        <v xml:space="preserve">ranita </v>
      </c>
      <c r="D72" s="1" t="s">
        <v>166</v>
      </c>
      <c r="E72" t="s">
        <v>167</v>
      </c>
      <c r="F72" t="s">
        <v>26</v>
      </c>
      <c r="G72" t="s">
        <v>17</v>
      </c>
      <c r="H72" s="2" t="s">
        <v>181</v>
      </c>
      <c r="I72" s="2" t="s">
        <v>182</v>
      </c>
      <c r="J72" s="3" t="s">
        <v>183</v>
      </c>
      <c r="K72">
        <v>0</v>
      </c>
      <c r="L72">
        <v>1</v>
      </c>
      <c r="M72" t="s">
        <v>149</v>
      </c>
      <c r="N72">
        <v>0</v>
      </c>
      <c r="O72" t="s">
        <v>175</v>
      </c>
      <c r="P72">
        <v>0</v>
      </c>
      <c r="Q72" t="s">
        <v>693</v>
      </c>
    </row>
    <row r="73" spans="1:17" ht="14.5" customHeight="1">
      <c r="A73">
        <v>49</v>
      </c>
      <c r="B73" t="str">
        <f t="shared" si="2"/>
        <v xml:space="preserve">49 - ranita </v>
      </c>
      <c r="C73" t="str">
        <f t="shared" si="3"/>
        <v xml:space="preserve">ranita </v>
      </c>
      <c r="D73" s="1" t="s">
        <v>166</v>
      </c>
      <c r="E73" t="s">
        <v>167</v>
      </c>
      <c r="F73" t="s">
        <v>26</v>
      </c>
      <c r="G73" t="s">
        <v>17</v>
      </c>
      <c r="H73" s="2" t="s">
        <v>184</v>
      </c>
      <c r="I73" s="2" t="s">
        <v>101</v>
      </c>
      <c r="J73" s="3" t="s">
        <v>185</v>
      </c>
      <c r="K73">
        <v>0</v>
      </c>
      <c r="L73">
        <v>1</v>
      </c>
      <c r="M73" t="s">
        <v>149</v>
      </c>
      <c r="N73">
        <v>0</v>
      </c>
      <c r="O73" t="s">
        <v>175</v>
      </c>
      <c r="P73">
        <v>0</v>
      </c>
      <c r="Q73" t="s">
        <v>693</v>
      </c>
    </row>
    <row r="74" spans="1:17" ht="14.5" customHeight="1">
      <c r="A74">
        <v>49</v>
      </c>
      <c r="B74" t="str">
        <f t="shared" si="2"/>
        <v xml:space="preserve">49 - ranita </v>
      </c>
      <c r="C74" t="str">
        <f t="shared" si="3"/>
        <v xml:space="preserve">ranita </v>
      </c>
      <c r="D74" s="1" t="s">
        <v>166</v>
      </c>
      <c r="E74" t="s">
        <v>167</v>
      </c>
      <c r="F74" t="s">
        <v>26</v>
      </c>
      <c r="G74" t="s">
        <v>17</v>
      </c>
      <c r="H74" s="2" t="s">
        <v>186</v>
      </c>
      <c r="I74" s="2" t="s">
        <v>187</v>
      </c>
      <c r="J74" s="3" t="s">
        <v>188</v>
      </c>
      <c r="K74">
        <v>1</v>
      </c>
      <c r="L74">
        <v>1</v>
      </c>
      <c r="M74" t="s">
        <v>149</v>
      </c>
      <c r="N74">
        <v>0</v>
      </c>
      <c r="O74" t="s">
        <v>175</v>
      </c>
      <c r="P74">
        <v>0</v>
      </c>
      <c r="Q74" t="s">
        <v>693</v>
      </c>
    </row>
    <row r="75" spans="1:17" ht="14.5" customHeight="1">
      <c r="A75">
        <v>49</v>
      </c>
      <c r="B75" t="str">
        <f t="shared" si="2"/>
        <v xml:space="preserve">49 - ranita </v>
      </c>
      <c r="C75" t="str">
        <f t="shared" si="3"/>
        <v xml:space="preserve">ranita </v>
      </c>
      <c r="D75" s="1" t="s">
        <v>166</v>
      </c>
      <c r="E75" t="s">
        <v>167</v>
      </c>
      <c r="F75" t="s">
        <v>26</v>
      </c>
      <c r="G75" t="s">
        <v>17</v>
      </c>
      <c r="H75" s="2" t="s">
        <v>189</v>
      </c>
      <c r="I75" s="2" t="s">
        <v>62</v>
      </c>
      <c r="J75" s="3" t="s">
        <v>190</v>
      </c>
      <c r="K75">
        <v>0</v>
      </c>
      <c r="L75">
        <v>1</v>
      </c>
      <c r="M75" t="s">
        <v>149</v>
      </c>
      <c r="N75">
        <v>0</v>
      </c>
      <c r="O75" t="s">
        <v>175</v>
      </c>
      <c r="P75">
        <v>0</v>
      </c>
      <c r="Q75" t="s">
        <v>693</v>
      </c>
    </row>
    <row r="76" spans="1:17" ht="14.5" customHeight="1">
      <c r="A76">
        <v>49</v>
      </c>
      <c r="B76" t="str">
        <f t="shared" si="2"/>
        <v xml:space="preserve">49 - ranita </v>
      </c>
      <c r="C76" t="str">
        <f t="shared" si="3"/>
        <v xml:space="preserve">ranita </v>
      </c>
      <c r="D76" s="1" t="s">
        <v>166</v>
      </c>
      <c r="E76" t="s">
        <v>167</v>
      </c>
      <c r="F76" t="s">
        <v>26</v>
      </c>
      <c r="G76" t="s">
        <v>17</v>
      </c>
      <c r="H76" s="2" t="s">
        <v>191</v>
      </c>
      <c r="I76" s="2" t="s">
        <v>107</v>
      </c>
      <c r="J76" s="3" t="s">
        <v>192</v>
      </c>
      <c r="K76">
        <v>0</v>
      </c>
      <c r="L76">
        <v>1</v>
      </c>
      <c r="M76" t="s">
        <v>149</v>
      </c>
      <c r="N76">
        <v>0</v>
      </c>
      <c r="O76" t="s">
        <v>175</v>
      </c>
      <c r="P76">
        <v>0</v>
      </c>
      <c r="Q76" t="s">
        <v>693</v>
      </c>
    </row>
    <row r="77" spans="1:17" ht="14.5" customHeight="1">
      <c r="A77">
        <v>49</v>
      </c>
      <c r="B77" t="str">
        <f t="shared" si="2"/>
        <v xml:space="preserve">49 - ranita </v>
      </c>
      <c r="C77" t="str">
        <f t="shared" si="3"/>
        <v xml:space="preserve">ranita </v>
      </c>
      <c r="D77" s="1" t="s">
        <v>166</v>
      </c>
      <c r="E77" t="s">
        <v>167</v>
      </c>
      <c r="F77" t="s">
        <v>26</v>
      </c>
      <c r="G77" t="s">
        <v>17</v>
      </c>
      <c r="H77" s="2" t="s">
        <v>193</v>
      </c>
      <c r="I77" s="2" t="s">
        <v>194</v>
      </c>
      <c r="J77" s="3" t="s">
        <v>195</v>
      </c>
      <c r="K77">
        <v>1</v>
      </c>
      <c r="L77">
        <v>1</v>
      </c>
      <c r="M77" t="s">
        <v>59</v>
      </c>
      <c r="N77">
        <v>1</v>
      </c>
      <c r="O77" t="s">
        <v>196</v>
      </c>
      <c r="P77">
        <v>0</v>
      </c>
      <c r="Q77" t="s">
        <v>693</v>
      </c>
    </row>
    <row r="78" spans="1:17" ht="14.5" customHeight="1">
      <c r="A78">
        <v>49</v>
      </c>
      <c r="B78" t="str">
        <f t="shared" si="2"/>
        <v xml:space="preserve">49 - ranita </v>
      </c>
      <c r="C78" t="str">
        <f t="shared" si="3"/>
        <v xml:space="preserve">ranita </v>
      </c>
      <c r="D78" s="1" t="s">
        <v>166</v>
      </c>
      <c r="E78" t="s">
        <v>167</v>
      </c>
      <c r="F78" t="s">
        <v>26</v>
      </c>
      <c r="G78" t="s">
        <v>17</v>
      </c>
      <c r="H78" s="2" t="s">
        <v>197</v>
      </c>
      <c r="I78" s="2" t="s">
        <v>198</v>
      </c>
      <c r="J78" s="3" t="s">
        <v>199</v>
      </c>
      <c r="K78">
        <v>0</v>
      </c>
      <c r="L78">
        <v>1</v>
      </c>
      <c r="M78" t="s">
        <v>59</v>
      </c>
      <c r="N78">
        <v>1</v>
      </c>
      <c r="O78" t="s">
        <v>196</v>
      </c>
      <c r="P78">
        <v>0</v>
      </c>
      <c r="Q78" t="s">
        <v>693</v>
      </c>
    </row>
    <row r="79" spans="1:17" ht="14.5" customHeight="1">
      <c r="A79">
        <v>49</v>
      </c>
      <c r="B79" t="str">
        <f t="shared" si="2"/>
        <v xml:space="preserve">49 - ranita </v>
      </c>
      <c r="C79" t="str">
        <f t="shared" si="3"/>
        <v xml:space="preserve">ranita </v>
      </c>
      <c r="D79" s="1" t="s">
        <v>166</v>
      </c>
      <c r="E79" t="s">
        <v>167</v>
      </c>
      <c r="F79" t="s">
        <v>26</v>
      </c>
      <c r="G79" t="s">
        <v>17</v>
      </c>
      <c r="H79" s="2" t="s">
        <v>200</v>
      </c>
      <c r="I79" s="2" t="s">
        <v>201</v>
      </c>
      <c r="J79" s="3" t="s">
        <v>202</v>
      </c>
      <c r="K79">
        <v>1</v>
      </c>
      <c r="L79">
        <v>1</v>
      </c>
      <c r="M79" t="s">
        <v>59</v>
      </c>
      <c r="N79">
        <v>1</v>
      </c>
      <c r="O79" t="s">
        <v>97</v>
      </c>
      <c r="P79">
        <v>0</v>
      </c>
      <c r="Q79" t="s">
        <v>693</v>
      </c>
    </row>
    <row r="80" spans="1:17" ht="14.5" customHeight="1">
      <c r="A80">
        <v>49</v>
      </c>
      <c r="B80" t="str">
        <f t="shared" si="2"/>
        <v xml:space="preserve">49 - ranita </v>
      </c>
      <c r="C80" t="str">
        <f t="shared" si="3"/>
        <v xml:space="preserve">ranita </v>
      </c>
      <c r="D80" s="1" t="s">
        <v>166</v>
      </c>
      <c r="E80" t="s">
        <v>167</v>
      </c>
      <c r="F80" t="s">
        <v>26</v>
      </c>
      <c r="G80" t="s">
        <v>17</v>
      </c>
      <c r="H80" s="2" t="s">
        <v>203</v>
      </c>
      <c r="I80" s="2" t="s">
        <v>66</v>
      </c>
      <c r="J80" s="3" t="s">
        <v>204</v>
      </c>
      <c r="K80">
        <v>0</v>
      </c>
      <c r="L80">
        <v>1</v>
      </c>
      <c r="M80" t="s">
        <v>59</v>
      </c>
      <c r="N80">
        <v>0</v>
      </c>
      <c r="O80" t="s">
        <v>64</v>
      </c>
      <c r="P80">
        <v>0</v>
      </c>
      <c r="Q80" t="s">
        <v>693</v>
      </c>
    </row>
    <row r="81" spans="1:17" ht="14.5" customHeight="1">
      <c r="A81">
        <v>50</v>
      </c>
      <c r="B81" t="str">
        <f t="shared" si="2"/>
        <v>50 - borrachito</v>
      </c>
      <c r="C81" t="str">
        <f t="shared" si="3"/>
        <v>borrachito</v>
      </c>
      <c r="D81" s="1" t="s">
        <v>205</v>
      </c>
      <c r="E81" t="s">
        <v>206</v>
      </c>
      <c r="F81" t="s">
        <v>45</v>
      </c>
      <c r="G81" t="s">
        <v>17</v>
      </c>
      <c r="H81" s="2" t="s">
        <v>207</v>
      </c>
      <c r="I81" s="2" t="s">
        <v>208</v>
      </c>
      <c r="J81" s="3" t="s">
        <v>209</v>
      </c>
      <c r="K81">
        <v>1</v>
      </c>
      <c r="L81">
        <v>1</v>
      </c>
      <c r="M81" t="s">
        <v>59</v>
      </c>
      <c r="N81">
        <v>0</v>
      </c>
      <c r="O81" t="s">
        <v>89</v>
      </c>
      <c r="P81">
        <v>0</v>
      </c>
      <c r="Q81" t="s">
        <v>693</v>
      </c>
    </row>
    <row r="82" spans="1:17" ht="14.5" customHeight="1">
      <c r="A82">
        <v>51</v>
      </c>
      <c r="B82" t="str">
        <f t="shared" si="2"/>
        <v>51 - picaflor de Juan Fernández</v>
      </c>
      <c r="C82" t="str">
        <f t="shared" si="3"/>
        <v>picaflor de Juan Fernández</v>
      </c>
      <c r="D82" s="1" t="s">
        <v>210</v>
      </c>
      <c r="E82" t="s">
        <v>211</v>
      </c>
      <c r="F82" t="s">
        <v>38</v>
      </c>
      <c r="G82" t="s">
        <v>17</v>
      </c>
      <c r="H82" s="2" t="s">
        <v>212</v>
      </c>
      <c r="I82" s="2" t="s">
        <v>173</v>
      </c>
      <c r="J82" s="3" t="s">
        <v>213</v>
      </c>
      <c r="K82">
        <v>0</v>
      </c>
      <c r="L82">
        <v>1</v>
      </c>
      <c r="M82" t="s">
        <v>59</v>
      </c>
      <c r="N82">
        <v>0</v>
      </c>
      <c r="O82" t="s">
        <v>89</v>
      </c>
      <c r="P82">
        <v>1</v>
      </c>
      <c r="Q82" t="s">
        <v>693</v>
      </c>
    </row>
    <row r="83" spans="1:17" ht="14.5" hidden="1" customHeight="1">
      <c r="A83">
        <v>52</v>
      </c>
      <c r="B83" t="str">
        <f t="shared" si="2"/>
        <v>52 - mosco de Juan Fernández</v>
      </c>
      <c r="C83" t="str">
        <f t="shared" si="3"/>
        <v>mosco de Juan Fernández</v>
      </c>
      <c r="D83" s="1" t="s">
        <v>214</v>
      </c>
      <c r="E83" t="s">
        <v>215</v>
      </c>
      <c r="F83" t="s">
        <v>45</v>
      </c>
      <c r="G83" t="s">
        <v>17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693</v>
      </c>
    </row>
    <row r="84" spans="1:17" ht="14.5" hidden="1" customHeight="1">
      <c r="A84">
        <v>53</v>
      </c>
      <c r="B84" t="str">
        <f t="shared" si="2"/>
        <v>53 - caracol terrestre Succinea</v>
      </c>
      <c r="C84" t="str">
        <f t="shared" si="3"/>
        <v>caracol terrestre Succinea</v>
      </c>
      <c r="D84" s="1" t="s">
        <v>216</v>
      </c>
      <c r="E84" t="s">
        <v>217</v>
      </c>
      <c r="F84" t="s">
        <v>33</v>
      </c>
      <c r="G84" t="s">
        <v>17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693</v>
      </c>
    </row>
    <row r="85" spans="1:17" ht="14.5" hidden="1" customHeight="1">
      <c r="A85">
        <v>54</v>
      </c>
      <c r="B85" t="str">
        <f t="shared" si="2"/>
        <v>54 - caracol terrestre Succinea</v>
      </c>
      <c r="C85" t="str">
        <f t="shared" si="3"/>
        <v>caracol terrestre Succinea</v>
      </c>
      <c r="D85" s="1" t="s">
        <v>218</v>
      </c>
      <c r="E85" t="s">
        <v>217</v>
      </c>
      <c r="F85" t="s">
        <v>33</v>
      </c>
      <c r="G85" t="s">
        <v>17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693</v>
      </c>
    </row>
    <row r="86" spans="1:17" ht="14.5" hidden="1" customHeight="1">
      <c r="A86">
        <v>55</v>
      </c>
      <c r="B86" t="str">
        <f t="shared" si="2"/>
        <v>55 - caracol terrestre Succinea</v>
      </c>
      <c r="C86" t="str">
        <f t="shared" si="3"/>
        <v>caracol terrestre Succinea</v>
      </c>
      <c r="D86" s="1" t="s">
        <v>219</v>
      </c>
      <c r="E86" t="s">
        <v>217</v>
      </c>
      <c r="F86" t="s">
        <v>33</v>
      </c>
      <c r="G86" t="s">
        <v>17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693</v>
      </c>
    </row>
    <row r="87" spans="1:17" ht="14.5" hidden="1" customHeight="1">
      <c r="A87">
        <v>56</v>
      </c>
      <c r="B87" t="str">
        <f t="shared" si="2"/>
        <v>56 - caracol terrestre Succinea</v>
      </c>
      <c r="C87" t="str">
        <f t="shared" si="3"/>
        <v>caracol terrestre Succinea</v>
      </c>
      <c r="D87" s="1" t="s">
        <v>220</v>
      </c>
      <c r="E87" t="s">
        <v>217</v>
      </c>
      <c r="F87" t="s">
        <v>33</v>
      </c>
      <c r="G87" t="s">
        <v>17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693</v>
      </c>
    </row>
    <row r="88" spans="1:17" ht="14.5" hidden="1" customHeight="1">
      <c r="A88">
        <v>57</v>
      </c>
      <c r="B88" t="str">
        <f t="shared" si="2"/>
        <v>57 - caracol terrestre Succinea</v>
      </c>
      <c r="C88" t="str">
        <f t="shared" si="3"/>
        <v>caracol terrestre Succinea</v>
      </c>
      <c r="D88" s="1" t="s">
        <v>221</v>
      </c>
      <c r="E88" t="s">
        <v>217</v>
      </c>
      <c r="F88" t="s">
        <v>33</v>
      </c>
      <c r="G88" t="s">
        <v>17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693</v>
      </c>
    </row>
    <row r="89" spans="1:17" ht="14.5" hidden="1" customHeight="1">
      <c r="A89">
        <v>58</v>
      </c>
      <c r="B89" t="str">
        <f t="shared" si="2"/>
        <v>58 - caracol terrestre Succinea</v>
      </c>
      <c r="C89" t="str">
        <f t="shared" si="3"/>
        <v>caracol terrestre Succinea</v>
      </c>
      <c r="D89" s="1" t="s">
        <v>222</v>
      </c>
      <c r="E89" t="s">
        <v>217</v>
      </c>
      <c r="F89" t="s">
        <v>33</v>
      </c>
      <c r="G89" t="s">
        <v>17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693</v>
      </c>
    </row>
    <row r="90" spans="1:17" ht="14.5" hidden="1" customHeight="1">
      <c r="A90">
        <v>59</v>
      </c>
      <c r="B90" t="str">
        <f t="shared" si="2"/>
        <v>59 - caracol terrestre Succinea</v>
      </c>
      <c r="C90" t="str">
        <f t="shared" si="3"/>
        <v>caracol terrestre Succinea</v>
      </c>
      <c r="D90" s="1" t="s">
        <v>223</v>
      </c>
      <c r="E90" t="s">
        <v>217</v>
      </c>
      <c r="F90" t="s">
        <v>33</v>
      </c>
      <c r="G90" t="s">
        <v>17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693</v>
      </c>
    </row>
    <row r="91" spans="1:17" ht="14.5" hidden="1" customHeight="1">
      <c r="A91">
        <v>60</v>
      </c>
      <c r="B91" t="str">
        <f t="shared" si="2"/>
        <v>60 - gorgona amarilla-roja</v>
      </c>
      <c r="C91" t="str">
        <f t="shared" si="3"/>
        <v>gorgona amarilla-roja</v>
      </c>
      <c r="D91" s="1" t="s">
        <v>224</v>
      </c>
      <c r="E91" t="s">
        <v>225</v>
      </c>
      <c r="F91" t="s">
        <v>226</v>
      </c>
      <c r="G91" t="s">
        <v>17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693</v>
      </c>
    </row>
    <row r="92" spans="1:17" ht="14.5" hidden="1" customHeight="1">
      <c r="A92">
        <v>61</v>
      </c>
      <c r="B92" t="str">
        <f t="shared" si="2"/>
        <v>61 - sapo</v>
      </c>
      <c r="C92" t="str">
        <f t="shared" si="3"/>
        <v>sapo</v>
      </c>
      <c r="D92" s="1" t="s">
        <v>227</v>
      </c>
      <c r="E92" t="s">
        <v>228</v>
      </c>
      <c r="F92" t="s">
        <v>26</v>
      </c>
      <c r="G92" t="s">
        <v>17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693</v>
      </c>
    </row>
    <row r="93" spans="1:17" ht="14.5" hidden="1" customHeight="1">
      <c r="A93">
        <v>62</v>
      </c>
      <c r="B93" t="str">
        <f t="shared" si="2"/>
        <v>62 - sapo de Danko</v>
      </c>
      <c r="C93" t="str">
        <f t="shared" si="3"/>
        <v>sapo de Danko</v>
      </c>
      <c r="D93" s="1" t="s">
        <v>229</v>
      </c>
      <c r="E93" t="s">
        <v>230</v>
      </c>
      <c r="F93" t="s">
        <v>26</v>
      </c>
      <c r="G93" t="s">
        <v>17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693</v>
      </c>
    </row>
    <row r="94" spans="1:17" ht="14.5" hidden="1" customHeight="1">
      <c r="A94">
        <v>63</v>
      </c>
      <c r="B94" t="str">
        <f t="shared" si="2"/>
        <v xml:space="preserve">63 - sapo </v>
      </c>
      <c r="C94" t="str">
        <f t="shared" si="3"/>
        <v xml:space="preserve">sapo </v>
      </c>
      <c r="D94" s="1" t="s">
        <v>231</v>
      </c>
      <c r="E94" t="s">
        <v>232</v>
      </c>
      <c r="F94" t="s">
        <v>26</v>
      </c>
      <c r="G94" t="s">
        <v>17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693</v>
      </c>
    </row>
    <row r="95" spans="1:17" ht="14.5" hidden="1" customHeight="1">
      <c r="A95">
        <v>64</v>
      </c>
      <c r="B95" t="str">
        <f t="shared" si="2"/>
        <v xml:space="preserve">64 - sapo </v>
      </c>
      <c r="C95" t="str">
        <f t="shared" si="3"/>
        <v xml:space="preserve">sapo </v>
      </c>
      <c r="D95" s="1" t="s">
        <v>233</v>
      </c>
      <c r="E95" t="s">
        <v>232</v>
      </c>
      <c r="F95" t="s">
        <v>26</v>
      </c>
      <c r="G95" t="s">
        <v>17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693</v>
      </c>
    </row>
    <row r="96" spans="1:17" ht="14.5" hidden="1" customHeight="1">
      <c r="A96">
        <v>65</v>
      </c>
      <c r="B96" t="str">
        <f t="shared" si="2"/>
        <v>65 - rana de Vilama</v>
      </c>
      <c r="C96" t="str">
        <f t="shared" si="3"/>
        <v>rana de Vilama</v>
      </c>
      <c r="D96" s="1" t="s">
        <v>234</v>
      </c>
      <c r="E96" t="s">
        <v>235</v>
      </c>
      <c r="F96" t="s">
        <v>26</v>
      </c>
      <c r="G96" t="s">
        <v>17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693</v>
      </c>
    </row>
    <row r="97" spans="1:17" ht="14.5" hidden="1" customHeight="1">
      <c r="A97">
        <v>66</v>
      </c>
      <c r="B97" t="str">
        <f t="shared" si="2"/>
        <v>66 - caracol terrestre Tornatellina</v>
      </c>
      <c r="C97" t="str">
        <f t="shared" si="3"/>
        <v>caracol terrestre Tornatellina</v>
      </c>
      <c r="D97" s="1" t="s">
        <v>236</v>
      </c>
      <c r="E97" t="s">
        <v>237</v>
      </c>
      <c r="F97" t="s">
        <v>33</v>
      </c>
      <c r="G97" t="s">
        <v>17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693</v>
      </c>
    </row>
    <row r="98" spans="1:17" ht="14.5" hidden="1" customHeight="1">
      <c r="A98">
        <v>67</v>
      </c>
      <c r="B98" t="str">
        <f t="shared" si="2"/>
        <v>67 - caracol terrestre Tornatellina</v>
      </c>
      <c r="C98" t="str">
        <f t="shared" si="3"/>
        <v>caracol terrestre Tornatellina</v>
      </c>
      <c r="D98" s="1" t="s">
        <v>238</v>
      </c>
      <c r="E98" t="s">
        <v>237</v>
      </c>
      <c r="F98" t="s">
        <v>33</v>
      </c>
      <c r="G98" t="s">
        <v>17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693</v>
      </c>
    </row>
    <row r="99" spans="1:17" ht="14.5" hidden="1" customHeight="1">
      <c r="A99">
        <v>68</v>
      </c>
      <c r="B99" t="str">
        <f t="shared" si="2"/>
        <v>68 - caracol terrestre Tornatellina</v>
      </c>
      <c r="C99" t="str">
        <f t="shared" si="3"/>
        <v>caracol terrestre Tornatellina</v>
      </c>
      <c r="D99" s="1" t="s">
        <v>239</v>
      </c>
      <c r="E99" t="s">
        <v>237</v>
      </c>
      <c r="F99" t="s">
        <v>33</v>
      </c>
      <c r="G99" t="s">
        <v>17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693</v>
      </c>
    </row>
    <row r="100" spans="1:17" ht="14.5" hidden="1" customHeight="1">
      <c r="A100">
        <v>69</v>
      </c>
      <c r="B100" t="str">
        <f t="shared" si="2"/>
        <v>69 - caracol terrestre Tornatellina</v>
      </c>
      <c r="C100" t="str">
        <f t="shared" si="3"/>
        <v>caracol terrestre Tornatellina</v>
      </c>
      <c r="D100" s="1" t="s">
        <v>240</v>
      </c>
      <c r="E100" t="s">
        <v>237</v>
      </c>
      <c r="F100" t="s">
        <v>33</v>
      </c>
      <c r="G100" t="s">
        <v>17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693</v>
      </c>
    </row>
    <row r="101" spans="1:17" ht="14.5" hidden="1" customHeight="1">
      <c r="A101">
        <v>70</v>
      </c>
      <c r="B101" t="str">
        <f t="shared" si="2"/>
        <v>70 - caracol terrestre Tornatellina</v>
      </c>
      <c r="C101" t="str">
        <f t="shared" si="3"/>
        <v>caracol terrestre Tornatellina</v>
      </c>
      <c r="D101" s="1" t="s">
        <v>241</v>
      </c>
      <c r="E101" t="s">
        <v>237</v>
      </c>
      <c r="F101" t="s">
        <v>33</v>
      </c>
      <c r="G101" t="s">
        <v>17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693</v>
      </c>
    </row>
    <row r="102" spans="1:17" ht="14.5" hidden="1" customHeight="1">
      <c r="A102">
        <v>71</v>
      </c>
      <c r="B102" t="str">
        <f t="shared" si="2"/>
        <v>71 - Acalodegma vidali</v>
      </c>
      <c r="C102" t="str">
        <f t="shared" si="3"/>
        <v>Acalodegma vidali</v>
      </c>
      <c r="D102" s="5" t="s">
        <v>242</v>
      </c>
      <c r="E102" s="6"/>
      <c r="F102" t="s">
        <v>45</v>
      </c>
      <c r="G102" t="s">
        <v>243</v>
      </c>
      <c r="Q102" t="s">
        <v>693</v>
      </c>
    </row>
    <row r="103" spans="1:17" ht="14.5" hidden="1" customHeight="1">
      <c r="A103">
        <v>72</v>
      </c>
      <c r="B103" t="str">
        <f t="shared" si="2"/>
        <v>72 - Pancora</v>
      </c>
      <c r="C103" t="str">
        <f t="shared" si="3"/>
        <v>Pancora</v>
      </c>
      <c r="D103" s="5" t="s">
        <v>244</v>
      </c>
      <c r="E103" s="6" t="s">
        <v>245</v>
      </c>
      <c r="F103" t="s">
        <v>21</v>
      </c>
      <c r="G103" t="s">
        <v>243</v>
      </c>
      <c r="Q103" t="s">
        <v>693</v>
      </c>
    </row>
    <row r="104" spans="1:17" ht="14.5" hidden="1" customHeight="1">
      <c r="A104">
        <v>73</v>
      </c>
      <c r="B104" t="str">
        <f t="shared" si="2"/>
        <v>73 - Pancora</v>
      </c>
      <c r="C104" t="str">
        <f t="shared" si="3"/>
        <v>Pancora</v>
      </c>
      <c r="D104" s="5" t="s">
        <v>246</v>
      </c>
      <c r="E104" s="6" t="s">
        <v>245</v>
      </c>
      <c r="F104" t="s">
        <v>21</v>
      </c>
      <c r="G104" t="s">
        <v>243</v>
      </c>
      <c r="Q104" t="s">
        <v>693</v>
      </c>
    </row>
    <row r="105" spans="1:17" ht="14.5" hidden="1" customHeight="1">
      <c r="A105">
        <v>74</v>
      </c>
      <c r="B105" t="str">
        <f t="shared" si="2"/>
        <v>74 - Pancora</v>
      </c>
      <c r="C105" t="str">
        <f t="shared" si="3"/>
        <v>Pancora</v>
      </c>
      <c r="D105" s="5" t="s">
        <v>247</v>
      </c>
      <c r="E105" s="6" t="s">
        <v>245</v>
      </c>
      <c r="F105" t="s">
        <v>21</v>
      </c>
      <c r="G105" t="s">
        <v>243</v>
      </c>
      <c r="Q105" t="s">
        <v>693</v>
      </c>
    </row>
    <row r="106" spans="1:17" ht="14.5" hidden="1" customHeight="1">
      <c r="A106">
        <v>75</v>
      </c>
      <c r="B106" t="str">
        <f t="shared" si="2"/>
        <v>75 - Pancora</v>
      </c>
      <c r="C106" t="str">
        <f t="shared" si="3"/>
        <v>Pancora</v>
      </c>
      <c r="D106" s="5" t="s">
        <v>248</v>
      </c>
      <c r="E106" s="6" t="s">
        <v>245</v>
      </c>
      <c r="F106" t="s">
        <v>21</v>
      </c>
      <c r="G106" t="s">
        <v>243</v>
      </c>
      <c r="Q106" t="s">
        <v>693</v>
      </c>
    </row>
    <row r="107" spans="1:17" ht="14.5" hidden="1" customHeight="1">
      <c r="A107">
        <v>76</v>
      </c>
      <c r="B107" t="str">
        <f t="shared" si="2"/>
        <v>76 - Pancora</v>
      </c>
      <c r="C107" t="str">
        <f t="shared" si="3"/>
        <v>Pancora</v>
      </c>
      <c r="D107" s="5" t="s">
        <v>249</v>
      </c>
      <c r="E107" s="6" t="s">
        <v>245</v>
      </c>
      <c r="F107" t="s">
        <v>21</v>
      </c>
      <c r="G107" t="s">
        <v>243</v>
      </c>
      <c r="Q107" t="s">
        <v>693</v>
      </c>
    </row>
    <row r="108" spans="1:17" ht="14.5" hidden="1" customHeight="1">
      <c r="A108">
        <v>77</v>
      </c>
      <c r="B108" t="str">
        <f t="shared" si="2"/>
        <v>77 - Pancora</v>
      </c>
      <c r="C108" t="str">
        <f t="shared" si="3"/>
        <v>Pancora</v>
      </c>
      <c r="D108" s="5" t="s">
        <v>250</v>
      </c>
      <c r="E108" s="6" t="s">
        <v>245</v>
      </c>
      <c r="F108" t="s">
        <v>21</v>
      </c>
      <c r="G108" t="s">
        <v>243</v>
      </c>
      <c r="Q108" t="s">
        <v>693</v>
      </c>
    </row>
    <row r="109" spans="1:17" ht="14.5" hidden="1" customHeight="1">
      <c r="A109">
        <v>78</v>
      </c>
      <c r="B109" t="str">
        <f t="shared" si="2"/>
        <v>78 - Mosca florícola de Juan Fernández</v>
      </c>
      <c r="C109" t="str">
        <f t="shared" si="3"/>
        <v>Mosca florícola de Juan Fernández</v>
      </c>
      <c r="D109" s="5" t="s">
        <v>251</v>
      </c>
      <c r="E109" s="6" t="s">
        <v>252</v>
      </c>
      <c r="F109" t="s">
        <v>45</v>
      </c>
      <c r="G109" t="s">
        <v>243</v>
      </c>
      <c r="Q109" t="s">
        <v>693</v>
      </c>
    </row>
    <row r="110" spans="1:17" ht="14.5" hidden="1" customHeight="1">
      <c r="A110">
        <v>79</v>
      </c>
      <c r="B110" t="str">
        <f t="shared" si="2"/>
        <v>79 - Sapo de Barros</v>
      </c>
      <c r="C110" t="str">
        <f t="shared" si="3"/>
        <v>Sapo de Barros</v>
      </c>
      <c r="D110" s="5" t="s">
        <v>253</v>
      </c>
      <c r="E110" s="6" t="s">
        <v>254</v>
      </c>
      <c r="F110" t="s">
        <v>26</v>
      </c>
      <c r="G110" t="s">
        <v>255</v>
      </c>
      <c r="Q110" t="s">
        <v>693</v>
      </c>
    </row>
    <row r="111" spans="1:17" ht="14.5" hidden="1" customHeight="1">
      <c r="A111">
        <v>80</v>
      </c>
      <c r="B111" t="str">
        <f t="shared" si="2"/>
        <v>80 - Sapo</v>
      </c>
      <c r="C111" t="str">
        <f t="shared" si="3"/>
        <v>Sapo</v>
      </c>
      <c r="D111" s="5" t="s">
        <v>256</v>
      </c>
      <c r="E111" s="6" t="s">
        <v>257</v>
      </c>
      <c r="F111" t="s">
        <v>26</v>
      </c>
      <c r="G111" t="s">
        <v>243</v>
      </c>
      <c r="Q111" t="s">
        <v>693</v>
      </c>
    </row>
    <row r="112" spans="1:17" ht="14.5" hidden="1" customHeight="1">
      <c r="A112">
        <v>81</v>
      </c>
      <c r="B112" t="str">
        <f t="shared" si="2"/>
        <v>81 - Sapo de monte</v>
      </c>
      <c r="C112" t="str">
        <f t="shared" si="3"/>
        <v>Sapo de monte</v>
      </c>
      <c r="D112" s="5" t="s">
        <v>258</v>
      </c>
      <c r="E112" s="6" t="s">
        <v>259</v>
      </c>
      <c r="F112" t="s">
        <v>26</v>
      </c>
      <c r="G112" t="s">
        <v>255</v>
      </c>
      <c r="Q112" t="s">
        <v>693</v>
      </c>
    </row>
    <row r="113" spans="1:17" ht="14.5" hidden="1" customHeight="1">
      <c r="A113">
        <v>82</v>
      </c>
      <c r="B113" t="str">
        <f t="shared" si="2"/>
        <v>82 - Sapo</v>
      </c>
      <c r="C113" t="str">
        <f t="shared" si="3"/>
        <v>Sapo</v>
      </c>
      <c r="D113" s="5" t="s">
        <v>260</v>
      </c>
      <c r="E113" s="6" t="s">
        <v>257</v>
      </c>
      <c r="F113" t="s">
        <v>26</v>
      </c>
      <c r="G113" t="s">
        <v>255</v>
      </c>
      <c r="Q113" t="s">
        <v>693</v>
      </c>
    </row>
    <row r="114" spans="1:17" ht="14.5" hidden="1" customHeight="1">
      <c r="A114">
        <v>83</v>
      </c>
      <c r="B114" t="str">
        <f t="shared" si="2"/>
        <v>83 - Rana de pecho espinoso de Cordillera Pelada</v>
      </c>
      <c r="C114" t="str">
        <f t="shared" si="3"/>
        <v>Rana de pecho espinoso de Cordillera Pelada</v>
      </c>
      <c r="D114" s="5" t="s">
        <v>261</v>
      </c>
      <c r="E114" s="6" t="s">
        <v>262</v>
      </c>
      <c r="F114" t="s">
        <v>26</v>
      </c>
      <c r="G114" t="s">
        <v>243</v>
      </c>
      <c r="Q114" t="s">
        <v>693</v>
      </c>
    </row>
    <row r="115" spans="1:17" ht="14.5" hidden="1" customHeight="1">
      <c r="A115">
        <v>84</v>
      </c>
      <c r="B115" t="str">
        <f t="shared" si="2"/>
        <v>84 - Sapo de Vanzolini</v>
      </c>
      <c r="C115" t="str">
        <f t="shared" si="3"/>
        <v>Sapo de Vanzolini</v>
      </c>
      <c r="D115" s="5" t="s">
        <v>263</v>
      </c>
      <c r="E115" s="6" t="s">
        <v>264</v>
      </c>
      <c r="F115" t="s">
        <v>26</v>
      </c>
      <c r="G115" t="s">
        <v>255</v>
      </c>
      <c r="Q115" t="s">
        <v>693</v>
      </c>
    </row>
    <row r="116" spans="1:17" ht="14.5" hidden="1" customHeight="1">
      <c r="A116">
        <v>85</v>
      </c>
      <c r="B116" t="str">
        <f t="shared" si="2"/>
        <v>85 - Sapo de pecho espinoso de verrugas</v>
      </c>
      <c r="C116" t="str">
        <f t="shared" si="3"/>
        <v>Sapo de pecho espinoso de verrugas</v>
      </c>
      <c r="D116" s="5" t="s">
        <v>265</v>
      </c>
      <c r="E116" s="6" t="s">
        <v>266</v>
      </c>
      <c r="F116" t="s">
        <v>26</v>
      </c>
      <c r="G116" t="s">
        <v>243</v>
      </c>
      <c r="Q116" t="s">
        <v>693</v>
      </c>
    </row>
    <row r="117" spans="1:17" ht="14.5" hidden="1" customHeight="1">
      <c r="A117">
        <v>86</v>
      </c>
      <c r="B117" t="str">
        <f t="shared" si="2"/>
        <v>86 - Típula pintada</v>
      </c>
      <c r="C117" t="str">
        <f t="shared" si="3"/>
        <v>Típula pintada</v>
      </c>
      <c r="D117" s="5" t="s">
        <v>267</v>
      </c>
      <c r="E117" s="6" t="s">
        <v>268</v>
      </c>
      <c r="F117" t="s">
        <v>45</v>
      </c>
      <c r="G117" t="s">
        <v>243</v>
      </c>
      <c r="Q117" t="s">
        <v>693</v>
      </c>
    </row>
    <row r="118" spans="1:17" ht="14.5" hidden="1" customHeight="1">
      <c r="A118">
        <v>87</v>
      </c>
      <c r="B118" t="str">
        <f t="shared" si="2"/>
        <v>87 - Liguay</v>
      </c>
      <c r="C118" t="str">
        <f t="shared" si="3"/>
        <v>Liguay</v>
      </c>
      <c r="D118" s="5" t="s">
        <v>269</v>
      </c>
      <c r="E118" s="6" t="s">
        <v>270</v>
      </c>
      <c r="F118" t="s">
        <v>271</v>
      </c>
      <c r="G118" t="s">
        <v>243</v>
      </c>
      <c r="Q118" t="s">
        <v>693</v>
      </c>
    </row>
    <row r="119" spans="1:17" ht="14.5" hidden="1" customHeight="1">
      <c r="A119">
        <v>88</v>
      </c>
      <c r="B119" t="str">
        <f t="shared" si="2"/>
        <v>88 - Caracol terrestre Amphidoxa</v>
      </c>
      <c r="C119" t="str">
        <f t="shared" si="3"/>
        <v>Caracol terrestre Amphidoxa</v>
      </c>
      <c r="D119" s="5" t="s">
        <v>272</v>
      </c>
      <c r="E119" s="6" t="s">
        <v>273</v>
      </c>
      <c r="F119" t="s">
        <v>33</v>
      </c>
      <c r="G119" t="s">
        <v>243</v>
      </c>
      <c r="Q119" t="s">
        <v>693</v>
      </c>
    </row>
    <row r="120" spans="1:17" ht="14.5" hidden="1" customHeight="1">
      <c r="A120">
        <v>89</v>
      </c>
      <c r="B120" t="str">
        <f t="shared" si="2"/>
        <v>89 - Caracol terrestre Amphidoxa</v>
      </c>
      <c r="C120" t="str">
        <f t="shared" si="3"/>
        <v>Caracol terrestre Amphidoxa</v>
      </c>
      <c r="D120" s="5" t="s">
        <v>274</v>
      </c>
      <c r="E120" s="6" t="s">
        <v>273</v>
      </c>
      <c r="F120" t="s">
        <v>33</v>
      </c>
      <c r="G120" t="s">
        <v>243</v>
      </c>
      <c r="Q120" t="s">
        <v>693</v>
      </c>
    </row>
    <row r="121" spans="1:17" ht="14.5" hidden="1" customHeight="1">
      <c r="A121">
        <v>90</v>
      </c>
      <c r="B121" t="str">
        <f t="shared" si="2"/>
        <v>90 - Caracol terrestre Amphidoxa</v>
      </c>
      <c r="C121" t="str">
        <f t="shared" si="3"/>
        <v>Caracol terrestre Amphidoxa</v>
      </c>
      <c r="D121" s="5" t="s">
        <v>275</v>
      </c>
      <c r="E121" s="6" t="s">
        <v>273</v>
      </c>
      <c r="F121" t="s">
        <v>33</v>
      </c>
      <c r="G121" t="s">
        <v>243</v>
      </c>
      <c r="Q121" t="s">
        <v>693</v>
      </c>
    </row>
    <row r="122" spans="1:17" ht="14.5" hidden="1" customHeight="1">
      <c r="A122">
        <v>91</v>
      </c>
      <c r="B122" t="str">
        <f t="shared" si="2"/>
        <v>91 - Caracol terrestre Amphidoxa</v>
      </c>
      <c r="C122" t="str">
        <f t="shared" si="3"/>
        <v>Caracol terrestre Amphidoxa</v>
      </c>
      <c r="D122" s="5" t="s">
        <v>276</v>
      </c>
      <c r="E122" s="6" t="s">
        <v>273</v>
      </c>
      <c r="F122" t="s">
        <v>33</v>
      </c>
      <c r="G122" t="s">
        <v>243</v>
      </c>
      <c r="Q122" t="s">
        <v>693</v>
      </c>
    </row>
    <row r="123" spans="1:17" ht="14.5" hidden="1" customHeight="1">
      <c r="A123">
        <v>92</v>
      </c>
      <c r="B123" t="str">
        <f t="shared" si="2"/>
        <v>92 - Caracol terrestre Amphidoxa</v>
      </c>
      <c r="C123" t="str">
        <f t="shared" si="3"/>
        <v>Caracol terrestre Amphidoxa</v>
      </c>
      <c r="D123" s="5" t="s">
        <v>277</v>
      </c>
      <c r="E123" s="6" t="s">
        <v>273</v>
      </c>
      <c r="F123" t="s">
        <v>33</v>
      </c>
      <c r="G123" t="s">
        <v>243</v>
      </c>
      <c r="Q123" t="s">
        <v>693</v>
      </c>
    </row>
    <row r="124" spans="1:17" ht="14.5" hidden="1" customHeight="1">
      <c r="A124">
        <v>93</v>
      </c>
      <c r="B124" t="str">
        <f t="shared" si="2"/>
        <v>93 - Caracol terrestre Amphidoxa</v>
      </c>
      <c r="C124" t="str">
        <f t="shared" si="3"/>
        <v>Caracol terrestre Amphidoxa</v>
      </c>
      <c r="D124" s="5" t="s">
        <v>278</v>
      </c>
      <c r="E124" s="6" t="s">
        <v>273</v>
      </c>
      <c r="F124" t="s">
        <v>33</v>
      </c>
      <c r="G124" t="s">
        <v>243</v>
      </c>
      <c r="Q124" t="s">
        <v>693</v>
      </c>
    </row>
    <row r="125" spans="1:17" ht="14.5" hidden="1" customHeight="1">
      <c r="A125">
        <v>94</v>
      </c>
      <c r="B125" t="str">
        <f t="shared" si="2"/>
        <v>94 - Caracol terrestre Amphidoxa</v>
      </c>
      <c r="C125" t="str">
        <f t="shared" si="3"/>
        <v>Caracol terrestre Amphidoxa</v>
      </c>
      <c r="D125" s="5" t="s">
        <v>279</v>
      </c>
      <c r="E125" s="6" t="s">
        <v>273</v>
      </c>
      <c r="F125" t="s">
        <v>33</v>
      </c>
      <c r="G125" t="s">
        <v>243</v>
      </c>
      <c r="Q125" t="s">
        <v>693</v>
      </c>
    </row>
    <row r="126" spans="1:17" ht="14.5" hidden="1" customHeight="1">
      <c r="A126">
        <v>95</v>
      </c>
      <c r="B126" t="str">
        <f t="shared" si="2"/>
        <v>95 - Caracol terrestre Amphidoxa</v>
      </c>
      <c r="C126" t="str">
        <f t="shared" si="3"/>
        <v>Caracol terrestre Amphidoxa</v>
      </c>
      <c r="D126" s="5" t="s">
        <v>280</v>
      </c>
      <c r="E126" s="6" t="s">
        <v>273</v>
      </c>
      <c r="F126" t="s">
        <v>33</v>
      </c>
      <c r="G126" t="s">
        <v>243</v>
      </c>
      <c r="Q126" t="s">
        <v>693</v>
      </c>
    </row>
    <row r="127" spans="1:17" ht="14.5" hidden="1" customHeight="1">
      <c r="A127">
        <v>96</v>
      </c>
      <c r="B127" t="str">
        <f t="shared" si="2"/>
        <v xml:space="preserve">96 - Cachudito de Juan Fernández </v>
      </c>
      <c r="C127" t="str">
        <f t="shared" si="3"/>
        <v xml:space="preserve">Cachudito de Juan Fernández </v>
      </c>
      <c r="D127" s="5" t="s">
        <v>281</v>
      </c>
      <c r="E127" s="6" t="s">
        <v>282</v>
      </c>
      <c r="F127" t="s">
        <v>38</v>
      </c>
      <c r="G127" t="s">
        <v>255</v>
      </c>
      <c r="Q127" t="s">
        <v>693</v>
      </c>
    </row>
    <row r="128" spans="1:17" ht="14.5" hidden="1" customHeight="1">
      <c r="A128">
        <v>97</v>
      </c>
      <c r="B128" t="str">
        <f t="shared" si="2"/>
        <v>97 - Peladilla</v>
      </c>
      <c r="C128" t="str">
        <f t="shared" si="3"/>
        <v>Peladilla</v>
      </c>
      <c r="D128" s="5" t="s">
        <v>283</v>
      </c>
      <c r="E128" s="6" t="s">
        <v>284</v>
      </c>
      <c r="F128" t="s">
        <v>131</v>
      </c>
      <c r="G128" t="s">
        <v>243</v>
      </c>
      <c r="Q128" t="s">
        <v>693</v>
      </c>
    </row>
    <row r="129" spans="1:17" ht="14.5" hidden="1" customHeight="1">
      <c r="A129">
        <v>98</v>
      </c>
      <c r="B129" t="str">
        <f t="shared" si="2"/>
        <v>98 - Peladilla</v>
      </c>
      <c r="C129" t="str">
        <f t="shared" si="3"/>
        <v>Peladilla</v>
      </c>
      <c r="D129" s="5" t="s">
        <v>285</v>
      </c>
      <c r="E129" s="6" t="s">
        <v>284</v>
      </c>
      <c r="F129" t="s">
        <v>131</v>
      </c>
      <c r="G129" t="s">
        <v>243</v>
      </c>
      <c r="Q129" t="s">
        <v>693</v>
      </c>
    </row>
    <row r="130" spans="1:17" ht="14.5" hidden="1" customHeight="1">
      <c r="A130">
        <v>99</v>
      </c>
      <c r="B130" t="str">
        <f t="shared" ref="B130:B193" si="4">A130 &amp; " - " &amp; C130</f>
        <v>99 - Mancapollo</v>
      </c>
      <c r="C130" t="str">
        <f t="shared" ref="C130:C193" si="5">IF(E130="", D130, LEFT(E130, SEARCH(",", E130 &amp; ",") - 1))</f>
        <v>Mancapollo</v>
      </c>
      <c r="D130" s="5" t="s">
        <v>286</v>
      </c>
      <c r="E130" s="6" t="s">
        <v>287</v>
      </c>
      <c r="F130" t="s">
        <v>45</v>
      </c>
      <c r="G130" t="s">
        <v>243</v>
      </c>
      <c r="Q130" t="s">
        <v>693</v>
      </c>
    </row>
    <row r="131" spans="1:17" ht="14.5" hidden="1" customHeight="1">
      <c r="A131">
        <v>100</v>
      </c>
      <c r="B131" t="str">
        <f t="shared" si="4"/>
        <v>100 - Fardela blanca</v>
      </c>
      <c r="C131" t="str">
        <f t="shared" si="5"/>
        <v>Fardela blanca</v>
      </c>
      <c r="D131" s="5" t="s">
        <v>288</v>
      </c>
      <c r="E131" s="6" t="s">
        <v>289</v>
      </c>
      <c r="F131" t="s">
        <v>38</v>
      </c>
      <c r="G131" t="s">
        <v>243</v>
      </c>
      <c r="Q131" t="s">
        <v>693</v>
      </c>
    </row>
    <row r="132" spans="1:17" ht="14.5" hidden="1" customHeight="1">
      <c r="A132">
        <v>101</v>
      </c>
      <c r="B132" t="str">
        <f t="shared" si="4"/>
        <v>101 - Escarabajo</v>
      </c>
      <c r="C132" t="str">
        <f t="shared" si="5"/>
        <v>Escarabajo</v>
      </c>
      <c r="D132" s="5" t="s">
        <v>290</v>
      </c>
      <c r="E132" s="6" t="s">
        <v>291</v>
      </c>
      <c r="F132" t="s">
        <v>45</v>
      </c>
      <c r="G132" t="s">
        <v>243</v>
      </c>
      <c r="Q132" t="s">
        <v>693</v>
      </c>
    </row>
    <row r="133" spans="1:17" ht="14.5" hidden="1" customHeight="1">
      <c r="A133">
        <v>102</v>
      </c>
      <c r="B133" t="str">
        <f t="shared" si="4"/>
        <v>102 - Escorpión de Cepeda</v>
      </c>
      <c r="C133" t="str">
        <f t="shared" si="5"/>
        <v>Escorpión de Cepeda</v>
      </c>
      <c r="D133" s="5" t="s">
        <v>292</v>
      </c>
      <c r="E133" s="6" t="s">
        <v>293</v>
      </c>
      <c r="F133" t="s">
        <v>16</v>
      </c>
      <c r="G133" t="s">
        <v>243</v>
      </c>
      <c r="Q133" t="s">
        <v>693</v>
      </c>
    </row>
    <row r="134" spans="1:17" ht="14.5" hidden="1" customHeight="1">
      <c r="A134">
        <v>103</v>
      </c>
      <c r="B134" t="str">
        <f t="shared" si="4"/>
        <v>103 - Bagrecito</v>
      </c>
      <c r="C134" t="str">
        <f t="shared" si="5"/>
        <v>Bagrecito</v>
      </c>
      <c r="D134" s="5" t="s">
        <v>294</v>
      </c>
      <c r="E134" s="6" t="s">
        <v>295</v>
      </c>
      <c r="F134" t="s">
        <v>131</v>
      </c>
      <c r="G134" t="s">
        <v>243</v>
      </c>
      <c r="Q134" t="s">
        <v>693</v>
      </c>
    </row>
    <row r="135" spans="1:17" ht="14.5" hidden="1" customHeight="1">
      <c r="A135">
        <v>104</v>
      </c>
      <c r="B135" t="str">
        <f t="shared" si="4"/>
        <v>104 - Cascarudo de Cantillana</v>
      </c>
      <c r="C135" t="str">
        <f t="shared" si="5"/>
        <v>Cascarudo de Cantillana</v>
      </c>
      <c r="D135" s="5" t="s">
        <v>296</v>
      </c>
      <c r="E135" s="6" t="s">
        <v>297</v>
      </c>
      <c r="F135" t="s">
        <v>45</v>
      </c>
      <c r="G135" t="s">
        <v>243</v>
      </c>
      <c r="Q135" t="s">
        <v>693</v>
      </c>
    </row>
    <row r="136" spans="1:17" ht="14.5" hidden="1" customHeight="1">
      <c r="A136">
        <v>105</v>
      </c>
      <c r="B136" t="str">
        <f t="shared" si="4"/>
        <v>105 - Cascarudo de Las Docas</v>
      </c>
      <c r="C136" t="str">
        <f t="shared" si="5"/>
        <v>Cascarudo de Las Docas</v>
      </c>
      <c r="D136" s="5" t="s">
        <v>298</v>
      </c>
      <c r="E136" s="6" t="s">
        <v>299</v>
      </c>
      <c r="F136" t="s">
        <v>45</v>
      </c>
      <c r="G136" t="s">
        <v>243</v>
      </c>
      <c r="Q136" t="s">
        <v>693</v>
      </c>
    </row>
    <row r="137" spans="1:17" ht="14.5" hidden="1" customHeight="1">
      <c r="A137">
        <v>106</v>
      </c>
      <c r="B137" t="str">
        <f t="shared" si="4"/>
        <v>106 - Cascarudo de Peña</v>
      </c>
      <c r="C137" t="str">
        <f t="shared" si="5"/>
        <v>Cascarudo de Peña</v>
      </c>
      <c r="D137" s="5" t="s">
        <v>300</v>
      </c>
      <c r="E137" s="6" t="s">
        <v>301</v>
      </c>
      <c r="F137" t="s">
        <v>45</v>
      </c>
      <c r="G137" t="s">
        <v>243</v>
      </c>
      <c r="Q137" t="s">
        <v>693</v>
      </c>
    </row>
    <row r="138" spans="1:17" ht="14.5" hidden="1" customHeight="1">
      <c r="A138">
        <v>107</v>
      </c>
      <c r="B138" t="str">
        <f t="shared" si="4"/>
        <v>107 - Cascarudo de la Plata</v>
      </c>
      <c r="C138" t="str">
        <f t="shared" si="5"/>
        <v>Cascarudo de la Plata</v>
      </c>
      <c r="D138" s="5" t="s">
        <v>302</v>
      </c>
      <c r="E138" s="6" t="s">
        <v>303</v>
      </c>
      <c r="F138" t="s">
        <v>45</v>
      </c>
      <c r="G138" t="s">
        <v>243</v>
      </c>
      <c r="Q138" t="s">
        <v>693</v>
      </c>
    </row>
    <row r="139" spans="1:17" ht="14.5" hidden="1" customHeight="1">
      <c r="A139">
        <v>108</v>
      </c>
      <c r="B139" t="str">
        <f t="shared" si="4"/>
        <v>108 - Caracol terrestre Charopa</v>
      </c>
      <c r="C139" t="str">
        <f t="shared" si="5"/>
        <v>Caracol terrestre Charopa</v>
      </c>
      <c r="D139" s="5" t="s">
        <v>304</v>
      </c>
      <c r="E139" s="6" t="s">
        <v>305</v>
      </c>
      <c r="F139" t="s">
        <v>33</v>
      </c>
      <c r="G139" t="s">
        <v>243</v>
      </c>
      <c r="Q139" t="s">
        <v>693</v>
      </c>
    </row>
    <row r="140" spans="1:17" ht="14.5" hidden="1" customHeight="1">
      <c r="A140">
        <v>109</v>
      </c>
      <c r="B140" t="str">
        <f t="shared" si="4"/>
        <v>109 - Caracol terrestre Charopa</v>
      </c>
      <c r="C140" t="str">
        <f t="shared" si="5"/>
        <v>Caracol terrestre Charopa</v>
      </c>
      <c r="D140" s="5" t="s">
        <v>306</v>
      </c>
      <c r="E140" s="6" t="s">
        <v>305</v>
      </c>
      <c r="F140" t="s">
        <v>33</v>
      </c>
      <c r="G140" t="s">
        <v>243</v>
      </c>
      <c r="Q140" t="s">
        <v>693</v>
      </c>
    </row>
    <row r="141" spans="1:17" ht="14.5" hidden="1" customHeight="1">
      <c r="A141">
        <v>110</v>
      </c>
      <c r="B141" t="str">
        <f t="shared" si="4"/>
        <v>110 - Pocha</v>
      </c>
      <c r="C141" t="str">
        <f t="shared" si="5"/>
        <v>Pocha</v>
      </c>
      <c r="D141" s="5" t="s">
        <v>307</v>
      </c>
      <c r="E141" s="6" t="s">
        <v>308</v>
      </c>
      <c r="F141" t="s">
        <v>131</v>
      </c>
      <c r="G141" t="s">
        <v>255</v>
      </c>
      <c r="Q141" t="s">
        <v>693</v>
      </c>
    </row>
    <row r="142" spans="1:17" ht="14.5" hidden="1" customHeight="1">
      <c r="A142">
        <v>111</v>
      </c>
      <c r="B142" t="str">
        <f t="shared" si="4"/>
        <v>111 - Chanchito blanco de la araucaria</v>
      </c>
      <c r="C142" t="str">
        <f t="shared" si="5"/>
        <v>Chanchito blanco de la araucaria</v>
      </c>
      <c r="D142" s="5" t="s">
        <v>309</v>
      </c>
      <c r="E142" s="6" t="s">
        <v>310</v>
      </c>
      <c r="F142" t="s">
        <v>45</v>
      </c>
      <c r="G142" t="s">
        <v>311</v>
      </c>
      <c r="Q142" t="s">
        <v>693</v>
      </c>
    </row>
    <row r="143" spans="1:17" ht="14.5" hidden="1" customHeight="1">
      <c r="A143">
        <v>112</v>
      </c>
      <c r="B143" t="str">
        <f t="shared" si="4"/>
        <v>112 - Chinchilla costina</v>
      </c>
      <c r="C143" t="str">
        <f t="shared" si="5"/>
        <v>Chinchilla costina</v>
      </c>
      <c r="D143" s="5" t="s">
        <v>312</v>
      </c>
      <c r="E143" s="6" t="s">
        <v>313</v>
      </c>
      <c r="F143" t="s">
        <v>314</v>
      </c>
      <c r="G143" t="s">
        <v>243</v>
      </c>
      <c r="Q143" t="s">
        <v>693</v>
      </c>
    </row>
    <row r="144" spans="1:17" ht="14.5" hidden="1" customHeight="1">
      <c r="A144">
        <v>113</v>
      </c>
      <c r="B144" t="str">
        <f t="shared" si="4"/>
        <v>113 - Mamata</v>
      </c>
      <c r="C144" t="str">
        <f t="shared" si="5"/>
        <v>Mamata</v>
      </c>
      <c r="D144" s="5" t="s">
        <v>315</v>
      </c>
      <c r="E144" s="6" t="s">
        <v>316</v>
      </c>
      <c r="F144" t="s">
        <v>131</v>
      </c>
      <c r="G144" t="s">
        <v>243</v>
      </c>
      <c r="Q144" t="s">
        <v>693</v>
      </c>
    </row>
    <row r="145" spans="1:17" ht="14.5" hidden="1" customHeight="1">
      <c r="A145">
        <v>114</v>
      </c>
      <c r="B145" t="str">
        <f t="shared" si="4"/>
        <v>114 - Cnemalobus hirsutus</v>
      </c>
      <c r="C145" t="str">
        <f t="shared" si="5"/>
        <v>Cnemalobus hirsutus</v>
      </c>
      <c r="D145" s="5" t="s">
        <v>317</v>
      </c>
      <c r="E145" s="6"/>
      <c r="F145" t="s">
        <v>45</v>
      </c>
      <c r="G145" t="s">
        <v>243</v>
      </c>
      <c r="Q145" t="s">
        <v>693</v>
      </c>
    </row>
    <row r="146" spans="1:17" ht="14.5" hidden="1" customHeight="1">
      <c r="A146">
        <v>115</v>
      </c>
      <c r="B146" t="str">
        <f t="shared" si="4"/>
        <v>115 - Cnemalobus nuria</v>
      </c>
      <c r="C146" t="str">
        <f t="shared" si="5"/>
        <v>Cnemalobus nuria</v>
      </c>
      <c r="D146" s="5" t="s">
        <v>318</v>
      </c>
      <c r="E146" s="6"/>
      <c r="F146" t="s">
        <v>45</v>
      </c>
      <c r="G146" t="s">
        <v>243</v>
      </c>
      <c r="Q146" t="s">
        <v>693</v>
      </c>
    </row>
    <row r="147" spans="1:17" ht="14.5" hidden="1" customHeight="1">
      <c r="A147">
        <v>116</v>
      </c>
      <c r="B147" t="str">
        <f t="shared" si="4"/>
        <v>116 - Balita</v>
      </c>
      <c r="C147" t="str">
        <f t="shared" si="5"/>
        <v>Balita</v>
      </c>
      <c r="D147" s="5" t="s">
        <v>319</v>
      </c>
      <c r="E147" s="6" t="s">
        <v>320</v>
      </c>
      <c r="F147" t="s">
        <v>45</v>
      </c>
      <c r="G147" t="s">
        <v>243</v>
      </c>
      <c r="Q147" t="s">
        <v>693</v>
      </c>
    </row>
    <row r="148" spans="1:17" ht="14.5" hidden="1" customHeight="1">
      <c r="A148">
        <v>117</v>
      </c>
      <c r="B148" t="str">
        <f t="shared" si="4"/>
        <v>117 - Balita</v>
      </c>
      <c r="C148" t="str">
        <f t="shared" si="5"/>
        <v>Balita</v>
      </c>
      <c r="D148" s="5" t="s">
        <v>321</v>
      </c>
      <c r="E148" s="6" t="s">
        <v>322</v>
      </c>
      <c r="F148" t="s">
        <v>45</v>
      </c>
      <c r="G148" t="s">
        <v>243</v>
      </c>
      <c r="Q148" t="s">
        <v>693</v>
      </c>
    </row>
    <row r="149" spans="1:17" ht="14.5" hidden="1" customHeight="1">
      <c r="A149">
        <v>118</v>
      </c>
      <c r="B149" t="str">
        <f t="shared" si="4"/>
        <v>118 - Tollo</v>
      </c>
      <c r="C149" t="str">
        <f t="shared" si="5"/>
        <v>Tollo</v>
      </c>
      <c r="D149" s="5" t="s">
        <v>323</v>
      </c>
      <c r="E149" s="6" t="s">
        <v>324</v>
      </c>
      <c r="F149" t="s">
        <v>131</v>
      </c>
      <c r="G149" t="s">
        <v>243</v>
      </c>
      <c r="Q149" t="s">
        <v>693</v>
      </c>
    </row>
    <row r="150" spans="1:17" ht="14.5" hidden="1" customHeight="1">
      <c r="A150">
        <v>119</v>
      </c>
      <c r="B150" t="str">
        <f t="shared" si="4"/>
        <v>119 - Tollo de agua dulce</v>
      </c>
      <c r="C150" t="str">
        <f t="shared" si="5"/>
        <v>Tollo de agua dulce</v>
      </c>
      <c r="D150" s="5" t="s">
        <v>325</v>
      </c>
      <c r="E150" s="6" t="s">
        <v>326</v>
      </c>
      <c r="F150" t="s">
        <v>131</v>
      </c>
      <c r="G150" t="s">
        <v>255</v>
      </c>
      <c r="Q150" t="s">
        <v>693</v>
      </c>
    </row>
    <row r="151" spans="1:17" ht="14.5" hidden="1" customHeight="1">
      <c r="A151">
        <v>120</v>
      </c>
      <c r="B151" t="str">
        <f t="shared" si="4"/>
        <v xml:space="preserve">120 - Tollo </v>
      </c>
      <c r="C151" t="str">
        <f t="shared" si="5"/>
        <v xml:space="preserve">Tollo </v>
      </c>
      <c r="D151" s="5" t="s">
        <v>327</v>
      </c>
      <c r="E151" s="6" t="s">
        <v>328</v>
      </c>
      <c r="F151" t="s">
        <v>131</v>
      </c>
      <c r="G151" t="s">
        <v>243</v>
      </c>
      <c r="Q151" t="s">
        <v>693</v>
      </c>
    </row>
    <row r="152" spans="1:17" ht="14.5" hidden="1" customHeight="1">
      <c r="A152">
        <v>121</v>
      </c>
      <c r="B152" t="str">
        <f t="shared" si="4"/>
        <v xml:space="preserve">121 - Langosta de alas cortas; langosta de Ureta; langosta de Lila; langosta de La Chimba
</v>
      </c>
      <c r="C152" t="str">
        <f t="shared" si="5"/>
        <v xml:space="preserve">Langosta de alas cortas; langosta de Ureta; langosta de Lila; langosta de La Chimba
</v>
      </c>
      <c r="D152" s="5" t="s">
        <v>329</v>
      </c>
      <c r="E152" s="6" t="s">
        <v>330</v>
      </c>
      <c r="F152" t="s">
        <v>45</v>
      </c>
      <c r="G152" t="s">
        <v>243</v>
      </c>
      <c r="Q152" t="s">
        <v>693</v>
      </c>
    </row>
    <row r="153" spans="1:17" ht="14.5" hidden="1" customHeight="1">
      <c r="A153">
        <v>122</v>
      </c>
      <c r="B153" t="str">
        <f t="shared" si="4"/>
        <v>122 - Borrachito de Tolhuaca</v>
      </c>
      <c r="C153" t="str">
        <f t="shared" si="5"/>
        <v>Borrachito de Tolhuaca</v>
      </c>
      <c r="D153" s="5" t="s">
        <v>331</v>
      </c>
      <c r="E153" s="6" t="s">
        <v>332</v>
      </c>
      <c r="F153" t="s">
        <v>45</v>
      </c>
      <c r="G153" t="s">
        <v>243</v>
      </c>
      <c r="Q153" t="s">
        <v>693</v>
      </c>
    </row>
    <row r="154" spans="1:17" ht="14.5" hidden="1" customHeight="1">
      <c r="A154">
        <v>123</v>
      </c>
      <c r="B154" t="str">
        <f t="shared" si="4"/>
        <v>123 - Tarántula afín de Santiago</v>
      </c>
      <c r="C154" t="str">
        <f t="shared" si="5"/>
        <v>Tarántula afín de Santiago</v>
      </c>
      <c r="D154" s="5" t="s">
        <v>333</v>
      </c>
      <c r="E154" s="6" t="s">
        <v>334</v>
      </c>
      <c r="F154" t="s">
        <v>16</v>
      </c>
      <c r="G154" t="s">
        <v>243</v>
      </c>
      <c r="Q154" t="s">
        <v>693</v>
      </c>
    </row>
    <row r="155" spans="1:17" ht="14.5" hidden="1" customHeight="1">
      <c r="A155">
        <v>124</v>
      </c>
      <c r="B155" t="str">
        <f t="shared" si="4"/>
        <v>124 - Rana de hojarasca de Oncol</v>
      </c>
      <c r="C155" t="str">
        <f t="shared" si="5"/>
        <v>Rana de hojarasca de Oncol</v>
      </c>
      <c r="D155" s="5" t="s">
        <v>335</v>
      </c>
      <c r="E155" s="6" t="s">
        <v>336</v>
      </c>
      <c r="F155" t="s">
        <v>26</v>
      </c>
      <c r="G155" t="s">
        <v>243</v>
      </c>
      <c r="Q155" t="s">
        <v>693</v>
      </c>
    </row>
    <row r="156" spans="1:17" ht="14.5" hidden="1" customHeight="1">
      <c r="A156">
        <v>125</v>
      </c>
      <c r="B156" t="str">
        <f t="shared" si="4"/>
        <v>125 - Sapo de Contulmo</v>
      </c>
      <c r="C156" t="str">
        <f t="shared" si="5"/>
        <v>Sapo de Contulmo</v>
      </c>
      <c r="D156" s="5" t="s">
        <v>337</v>
      </c>
      <c r="E156" s="6" t="s">
        <v>338</v>
      </c>
      <c r="F156" t="s">
        <v>26</v>
      </c>
      <c r="G156" t="s">
        <v>243</v>
      </c>
      <c r="Q156" t="s">
        <v>693</v>
      </c>
    </row>
    <row r="157" spans="1:17" ht="14.5" hidden="1" customHeight="1">
      <c r="A157">
        <v>126</v>
      </c>
      <c r="B157" t="str">
        <f t="shared" si="4"/>
        <v>126 - Sapo de Isla Mocha</v>
      </c>
      <c r="C157" t="str">
        <f t="shared" si="5"/>
        <v>Sapo de Isla Mocha</v>
      </c>
      <c r="D157" s="5" t="s">
        <v>339</v>
      </c>
      <c r="E157" s="6" t="s">
        <v>340</v>
      </c>
      <c r="F157" t="s">
        <v>26</v>
      </c>
      <c r="G157" t="s">
        <v>255</v>
      </c>
      <c r="Q157" t="s">
        <v>693</v>
      </c>
    </row>
    <row r="158" spans="1:17" ht="14.5" hidden="1" customHeight="1">
      <c r="A158">
        <v>127</v>
      </c>
      <c r="B158" t="str">
        <f t="shared" si="4"/>
        <v>127 - Sapo de Miguel</v>
      </c>
      <c r="C158" t="str">
        <f t="shared" si="5"/>
        <v>Sapo de Miguel</v>
      </c>
      <c r="D158" s="5" t="s">
        <v>341</v>
      </c>
      <c r="E158" s="6" t="s">
        <v>342</v>
      </c>
      <c r="F158" t="s">
        <v>26</v>
      </c>
      <c r="G158" t="s">
        <v>255</v>
      </c>
      <c r="Q158" t="s">
        <v>693</v>
      </c>
    </row>
    <row r="159" spans="1:17" ht="14.5" hidden="1" customHeight="1">
      <c r="A159">
        <v>128</v>
      </c>
      <c r="B159" t="str">
        <f t="shared" si="4"/>
        <v>128 - Sapo de Nahuelbuta</v>
      </c>
      <c r="C159" t="str">
        <f t="shared" si="5"/>
        <v>Sapo de Nahuelbuta</v>
      </c>
      <c r="D159" s="5" t="s">
        <v>343</v>
      </c>
      <c r="E159" s="6" t="s">
        <v>344</v>
      </c>
      <c r="F159" t="s">
        <v>26</v>
      </c>
      <c r="G159" t="s">
        <v>255</v>
      </c>
      <c r="Q159" t="s">
        <v>693</v>
      </c>
    </row>
    <row r="160" spans="1:17" ht="14.5" hidden="1" customHeight="1">
      <c r="A160">
        <v>129</v>
      </c>
      <c r="B160" t="str">
        <f t="shared" si="4"/>
        <v>129 - Ranita de Los Queules</v>
      </c>
      <c r="C160" t="str">
        <f t="shared" si="5"/>
        <v>Ranita de Los Queules</v>
      </c>
      <c r="D160" s="5" t="s">
        <v>345</v>
      </c>
      <c r="E160" s="6" t="s">
        <v>346</v>
      </c>
      <c r="F160" t="s">
        <v>26</v>
      </c>
      <c r="G160" t="s">
        <v>243</v>
      </c>
      <c r="Q160" t="s">
        <v>693</v>
      </c>
    </row>
    <row r="161" spans="1:17" ht="14.5" hidden="1" customHeight="1">
      <c r="A161">
        <v>130</v>
      </c>
      <c r="B161" t="str">
        <f t="shared" si="4"/>
        <v>130 - Cochinilla de fieltro (genérico)</v>
      </c>
      <c r="C161" t="str">
        <f t="shared" si="5"/>
        <v>Cochinilla de fieltro (genérico)</v>
      </c>
      <c r="D161" s="5" t="s">
        <v>347</v>
      </c>
      <c r="E161" s="6" t="s">
        <v>348</v>
      </c>
      <c r="F161" t="s">
        <v>45</v>
      </c>
      <c r="G161" t="s">
        <v>243</v>
      </c>
      <c r="Q161" t="s">
        <v>693</v>
      </c>
    </row>
    <row r="162" spans="1:17" ht="14.5" hidden="1" customHeight="1">
      <c r="A162">
        <v>131</v>
      </c>
      <c r="B162" t="str">
        <f t="shared" si="4"/>
        <v>131 - Cernícalo de Juan Fernández</v>
      </c>
      <c r="C162" t="str">
        <f t="shared" si="5"/>
        <v>Cernícalo de Juan Fernández</v>
      </c>
      <c r="D162" s="5" t="s">
        <v>349</v>
      </c>
      <c r="E162" s="6" t="s">
        <v>350</v>
      </c>
      <c r="F162" t="s">
        <v>38</v>
      </c>
      <c r="G162" t="s">
        <v>243</v>
      </c>
      <c r="Q162" t="s">
        <v>693</v>
      </c>
    </row>
    <row r="163" spans="1:17" ht="14.5" hidden="1" customHeight="1">
      <c r="A163">
        <v>132</v>
      </c>
      <c r="B163" t="str">
        <f t="shared" si="4"/>
        <v>132 - Caracol terrestre de Juan Fernández</v>
      </c>
      <c r="C163" t="str">
        <f t="shared" si="5"/>
        <v>Caracol terrestre de Juan Fernández</v>
      </c>
      <c r="D163" s="5" t="s">
        <v>351</v>
      </c>
      <c r="E163" s="6" t="s">
        <v>352</v>
      </c>
      <c r="F163" t="s">
        <v>33</v>
      </c>
      <c r="G163" t="s">
        <v>243</v>
      </c>
      <c r="Q163" t="s">
        <v>693</v>
      </c>
    </row>
    <row r="164" spans="1:17" ht="14.5" hidden="1" customHeight="1">
      <c r="A164">
        <v>133</v>
      </c>
      <c r="B164" t="str">
        <f t="shared" si="4"/>
        <v>133 - Caracol terrestre de Juan Fernández</v>
      </c>
      <c r="C164" t="str">
        <f t="shared" si="5"/>
        <v>Caracol terrestre de Juan Fernández</v>
      </c>
      <c r="D164" s="5" t="s">
        <v>353</v>
      </c>
      <c r="E164" s="6" t="s">
        <v>352</v>
      </c>
      <c r="F164" t="s">
        <v>33</v>
      </c>
      <c r="G164" t="s">
        <v>243</v>
      </c>
      <c r="Q164" t="s">
        <v>693</v>
      </c>
    </row>
    <row r="165" spans="1:17" ht="14.5" hidden="1" customHeight="1">
      <c r="A165">
        <v>134</v>
      </c>
      <c r="B165" t="str">
        <f t="shared" si="4"/>
        <v>134 - Caracol terrestre de Juan Fernández</v>
      </c>
      <c r="C165" t="str">
        <f t="shared" si="5"/>
        <v>Caracol terrestre de Juan Fernández</v>
      </c>
      <c r="D165" s="5" t="s">
        <v>354</v>
      </c>
      <c r="E165" s="6" t="s">
        <v>352</v>
      </c>
      <c r="F165" t="s">
        <v>33</v>
      </c>
      <c r="G165" t="s">
        <v>243</v>
      </c>
      <c r="Q165" t="s">
        <v>693</v>
      </c>
    </row>
    <row r="166" spans="1:17" ht="14.5" hidden="1" customHeight="1">
      <c r="A166">
        <v>135</v>
      </c>
      <c r="B166" t="str">
        <f t="shared" si="4"/>
        <v>135 - Caracol terrestre de Juan Fernández</v>
      </c>
      <c r="C166" t="str">
        <f t="shared" si="5"/>
        <v>Caracol terrestre de Juan Fernández</v>
      </c>
      <c r="D166" s="5" t="s">
        <v>355</v>
      </c>
      <c r="E166" s="6" t="s">
        <v>352</v>
      </c>
      <c r="F166" t="s">
        <v>33</v>
      </c>
      <c r="G166" t="s">
        <v>243</v>
      </c>
      <c r="Q166" t="s">
        <v>693</v>
      </c>
    </row>
    <row r="167" spans="1:17" ht="14.5" hidden="1" customHeight="1">
      <c r="A167">
        <v>136</v>
      </c>
      <c r="B167" t="str">
        <f t="shared" si="4"/>
        <v>136 - Caracol terrestre de Juan Fernández</v>
      </c>
      <c r="C167" t="str">
        <f t="shared" si="5"/>
        <v>Caracol terrestre de Juan Fernández</v>
      </c>
      <c r="D167" s="5" t="s">
        <v>356</v>
      </c>
      <c r="E167" s="6" t="s">
        <v>352</v>
      </c>
      <c r="F167" t="s">
        <v>33</v>
      </c>
      <c r="G167" t="s">
        <v>243</v>
      </c>
      <c r="Q167" t="s">
        <v>693</v>
      </c>
    </row>
    <row r="168" spans="1:17" ht="14.5" hidden="1" customHeight="1">
      <c r="A168">
        <v>137</v>
      </c>
      <c r="B168" t="str">
        <f t="shared" si="4"/>
        <v>137 - Caracol terrestre de Juan Fernández</v>
      </c>
      <c r="C168" t="str">
        <f t="shared" si="5"/>
        <v>Caracol terrestre de Juan Fernández</v>
      </c>
      <c r="D168" s="5" t="s">
        <v>357</v>
      </c>
      <c r="E168" s="6" t="s">
        <v>352</v>
      </c>
      <c r="F168" t="s">
        <v>33</v>
      </c>
      <c r="G168" t="s">
        <v>243</v>
      </c>
      <c r="Q168" t="s">
        <v>693</v>
      </c>
    </row>
    <row r="169" spans="1:17" ht="14.5" hidden="1" customHeight="1">
      <c r="A169">
        <v>138</v>
      </c>
      <c r="B169" t="str">
        <f t="shared" si="4"/>
        <v>138 - Caracol terrestre de Juan Fernández</v>
      </c>
      <c r="C169" t="str">
        <f t="shared" si="5"/>
        <v>Caracol terrestre de Juan Fernández</v>
      </c>
      <c r="D169" s="5" t="s">
        <v>358</v>
      </c>
      <c r="E169" s="6" t="s">
        <v>352</v>
      </c>
      <c r="F169" t="s">
        <v>33</v>
      </c>
      <c r="G169" t="s">
        <v>243</v>
      </c>
      <c r="Q169" t="s">
        <v>693</v>
      </c>
    </row>
    <row r="170" spans="1:17" ht="14.5" hidden="1" customHeight="1">
      <c r="A170">
        <v>139</v>
      </c>
      <c r="B170" t="str">
        <f t="shared" si="4"/>
        <v>139 - Caracol terrestre de Juan Fernández</v>
      </c>
      <c r="C170" t="str">
        <f t="shared" si="5"/>
        <v>Caracol terrestre de Juan Fernández</v>
      </c>
      <c r="D170" s="5" t="s">
        <v>359</v>
      </c>
      <c r="E170" s="6" t="s">
        <v>352</v>
      </c>
      <c r="F170" t="s">
        <v>33</v>
      </c>
      <c r="G170" t="s">
        <v>243</v>
      </c>
      <c r="Q170" t="s">
        <v>693</v>
      </c>
    </row>
    <row r="171" spans="1:17" ht="14.5" hidden="1" customHeight="1">
      <c r="A171">
        <v>140</v>
      </c>
      <c r="B171" t="str">
        <f t="shared" si="4"/>
        <v>140 - Caracol terrestre de Juan Fernández</v>
      </c>
      <c r="C171" t="str">
        <f t="shared" si="5"/>
        <v>Caracol terrestre de Juan Fernández</v>
      </c>
      <c r="D171" s="5" t="s">
        <v>360</v>
      </c>
      <c r="E171" s="6" t="s">
        <v>352</v>
      </c>
      <c r="F171" t="s">
        <v>33</v>
      </c>
      <c r="G171" t="s">
        <v>243</v>
      </c>
      <c r="Q171" t="s">
        <v>693</v>
      </c>
    </row>
    <row r="172" spans="1:17" ht="14.5" hidden="1" customHeight="1">
      <c r="A172">
        <v>141</v>
      </c>
      <c r="B172" t="str">
        <f t="shared" si="4"/>
        <v>141 - Caracol terrestre de Juan Fernández</v>
      </c>
      <c r="C172" t="str">
        <f t="shared" si="5"/>
        <v>Caracol terrestre de Juan Fernández</v>
      </c>
      <c r="D172" s="5" t="s">
        <v>361</v>
      </c>
      <c r="E172" s="6" t="s">
        <v>352</v>
      </c>
      <c r="F172" t="s">
        <v>33</v>
      </c>
      <c r="G172" t="s">
        <v>243</v>
      </c>
      <c r="Q172" t="s">
        <v>693</v>
      </c>
    </row>
    <row r="173" spans="1:17" ht="14.5" hidden="1" customHeight="1">
      <c r="A173">
        <v>142</v>
      </c>
      <c r="B173" t="str">
        <f t="shared" si="4"/>
        <v>142 - Caracol terrestre de Juan Fernández</v>
      </c>
      <c r="C173" t="str">
        <f t="shared" si="5"/>
        <v>Caracol terrestre de Juan Fernández</v>
      </c>
      <c r="D173" s="5" t="s">
        <v>362</v>
      </c>
      <c r="E173" s="6" t="s">
        <v>352</v>
      </c>
      <c r="F173" t="s">
        <v>33</v>
      </c>
      <c r="G173" t="s">
        <v>243</v>
      </c>
      <c r="Q173" t="s">
        <v>693</v>
      </c>
    </row>
    <row r="174" spans="1:17" ht="14.5" hidden="1" customHeight="1">
      <c r="A174">
        <v>143</v>
      </c>
      <c r="B174" t="str">
        <f t="shared" si="4"/>
        <v>143 - Caracol terrestre de Juan Fernández</v>
      </c>
      <c r="C174" t="str">
        <f t="shared" si="5"/>
        <v>Caracol terrestre de Juan Fernández</v>
      </c>
      <c r="D174" s="5" t="s">
        <v>363</v>
      </c>
      <c r="E174" s="6" t="s">
        <v>352</v>
      </c>
      <c r="F174" t="s">
        <v>33</v>
      </c>
      <c r="G174" t="s">
        <v>243</v>
      </c>
      <c r="Q174" t="s">
        <v>693</v>
      </c>
    </row>
    <row r="175" spans="1:17" ht="14.5" hidden="1" customHeight="1">
      <c r="A175">
        <v>144</v>
      </c>
      <c r="B175" t="str">
        <f t="shared" si="4"/>
        <v>144 - Puye</v>
      </c>
      <c r="C175" t="str">
        <f t="shared" si="5"/>
        <v>Puye</v>
      </c>
      <c r="D175" s="5" t="s">
        <v>364</v>
      </c>
      <c r="E175" s="6" t="s">
        <v>365</v>
      </c>
      <c r="F175" t="s">
        <v>131</v>
      </c>
      <c r="G175" t="s">
        <v>255</v>
      </c>
      <c r="Q175" t="s">
        <v>693</v>
      </c>
    </row>
    <row r="176" spans="1:17" ht="14.5" hidden="1" customHeight="1">
      <c r="A176">
        <v>145</v>
      </c>
      <c r="B176" t="str">
        <f t="shared" si="4"/>
        <v>145 - Vaquita del desierto de Paposo</v>
      </c>
      <c r="C176" t="str">
        <f t="shared" si="5"/>
        <v>Vaquita del desierto de Paposo</v>
      </c>
      <c r="D176" s="5" t="s">
        <v>366</v>
      </c>
      <c r="E176" s="6" t="s">
        <v>367</v>
      </c>
      <c r="F176" t="s">
        <v>45</v>
      </c>
      <c r="G176" t="s">
        <v>243</v>
      </c>
      <c r="Q176" t="s">
        <v>693</v>
      </c>
    </row>
    <row r="177" spans="1:17" ht="14.5" hidden="1" customHeight="1">
      <c r="A177">
        <v>146</v>
      </c>
      <c r="B177" t="str">
        <f t="shared" si="4"/>
        <v>146 - Caracol</v>
      </c>
      <c r="C177" t="str">
        <f t="shared" si="5"/>
        <v>Caracol</v>
      </c>
      <c r="D177" s="5" t="s">
        <v>368</v>
      </c>
      <c r="E177" s="6" t="s">
        <v>369</v>
      </c>
      <c r="F177" t="s">
        <v>33</v>
      </c>
      <c r="G177" t="s">
        <v>243</v>
      </c>
      <c r="Q177" t="s">
        <v>693</v>
      </c>
    </row>
    <row r="178" spans="1:17" ht="14.5" hidden="1" customHeight="1">
      <c r="A178">
        <v>147</v>
      </c>
      <c r="B178" t="str">
        <f t="shared" si="4"/>
        <v>147 - No conocido</v>
      </c>
      <c r="C178" t="str">
        <f t="shared" si="5"/>
        <v>No conocido</v>
      </c>
      <c r="D178" s="5" t="s">
        <v>370</v>
      </c>
      <c r="E178" s="6" t="s">
        <v>371</v>
      </c>
      <c r="F178" t="s">
        <v>45</v>
      </c>
      <c r="G178" t="s">
        <v>243</v>
      </c>
      <c r="Q178" t="s">
        <v>693</v>
      </c>
    </row>
    <row r="179" spans="1:17" ht="14.5" hidden="1" customHeight="1">
      <c r="A179">
        <v>148</v>
      </c>
      <c r="B179" t="str">
        <f t="shared" si="4"/>
        <v>148 - Tarántula enana de penacho amarillo</v>
      </c>
      <c r="C179" t="str">
        <f t="shared" si="5"/>
        <v>Tarántula enana de penacho amarillo</v>
      </c>
      <c r="D179" s="5" t="s">
        <v>372</v>
      </c>
      <c r="E179" s="6" t="s">
        <v>373</v>
      </c>
      <c r="F179" t="s">
        <v>16</v>
      </c>
      <c r="G179" t="s">
        <v>243</v>
      </c>
      <c r="Q179" t="s">
        <v>693</v>
      </c>
    </row>
    <row r="180" spans="1:17" ht="14.5" hidden="1" customHeight="1">
      <c r="A180">
        <v>149</v>
      </c>
      <c r="B180" t="str">
        <f t="shared" si="4"/>
        <v xml:space="preserve">149 - Sapo </v>
      </c>
      <c r="C180" t="str">
        <f t="shared" si="5"/>
        <v xml:space="preserve">Sapo </v>
      </c>
      <c r="D180" s="5" t="s">
        <v>374</v>
      </c>
      <c r="E180" s="6" t="s">
        <v>375</v>
      </c>
      <c r="F180" t="s">
        <v>26</v>
      </c>
      <c r="G180" t="s">
        <v>255</v>
      </c>
      <c r="Q180" t="s">
        <v>693</v>
      </c>
    </row>
    <row r="181" spans="1:17" ht="14.5" hidden="1" customHeight="1">
      <c r="A181">
        <v>150</v>
      </c>
      <c r="B181" t="str">
        <f t="shared" si="4"/>
        <v>150 - Mosca colibrí enana</v>
      </c>
      <c r="C181" t="str">
        <f t="shared" si="5"/>
        <v>Mosca colibrí enana</v>
      </c>
      <c r="D181" s="5" t="s">
        <v>376</v>
      </c>
      <c r="E181" s="6" t="s">
        <v>377</v>
      </c>
      <c r="F181" t="s">
        <v>45</v>
      </c>
      <c r="G181" t="s">
        <v>243</v>
      </c>
      <c r="Q181" t="s">
        <v>693</v>
      </c>
    </row>
    <row r="182" spans="1:17" ht="14.5" hidden="1" customHeight="1">
      <c r="A182">
        <v>151</v>
      </c>
      <c r="B182" t="str">
        <f t="shared" si="4"/>
        <v>151 - Lagartija de Bürger</v>
      </c>
      <c r="C182" t="str">
        <f t="shared" si="5"/>
        <v>Lagartija de Bürger</v>
      </c>
      <c r="D182" s="5" t="s">
        <v>378</v>
      </c>
      <c r="E182" s="6" t="s">
        <v>379</v>
      </c>
      <c r="F182" t="s">
        <v>115</v>
      </c>
      <c r="G182" t="s">
        <v>243</v>
      </c>
      <c r="Q182" t="s">
        <v>693</v>
      </c>
    </row>
    <row r="183" spans="1:17" ht="14.5" hidden="1" customHeight="1">
      <c r="A183">
        <v>152</v>
      </c>
      <c r="B183" t="str">
        <f t="shared" si="4"/>
        <v>152 - Lagartija de Garín</v>
      </c>
      <c r="C183" t="str">
        <f t="shared" si="5"/>
        <v>Lagartija de Garín</v>
      </c>
      <c r="D183" s="5" t="s">
        <v>380</v>
      </c>
      <c r="E183" s="6" t="s">
        <v>381</v>
      </c>
      <c r="F183" t="s">
        <v>115</v>
      </c>
      <c r="G183" t="s">
        <v>243</v>
      </c>
      <c r="Q183" t="s">
        <v>693</v>
      </c>
    </row>
    <row r="184" spans="1:17" ht="14.5" hidden="1" customHeight="1">
      <c r="A184">
        <v>153</v>
      </c>
      <c r="B184" t="str">
        <f t="shared" si="4"/>
        <v>153 - Lagarto de Chillán</v>
      </c>
      <c r="C184" t="str">
        <f t="shared" si="5"/>
        <v>Lagarto de Chillán</v>
      </c>
      <c r="D184" s="5" t="s">
        <v>382</v>
      </c>
      <c r="E184" s="6" t="s">
        <v>383</v>
      </c>
      <c r="F184" t="s">
        <v>115</v>
      </c>
      <c r="G184" t="s">
        <v>243</v>
      </c>
      <c r="Q184" t="s">
        <v>693</v>
      </c>
    </row>
    <row r="185" spans="1:17" ht="14.5" hidden="1" customHeight="1">
      <c r="A185">
        <v>154</v>
      </c>
      <c r="B185" t="str">
        <f t="shared" si="4"/>
        <v>154 - Lagartija de Fabián</v>
      </c>
      <c r="C185" t="str">
        <f t="shared" si="5"/>
        <v>Lagartija de Fabián</v>
      </c>
      <c r="D185" s="5" t="s">
        <v>384</v>
      </c>
      <c r="E185" s="6" t="s">
        <v>385</v>
      </c>
      <c r="F185" t="s">
        <v>115</v>
      </c>
      <c r="G185" t="s">
        <v>243</v>
      </c>
      <c r="Q185" t="s">
        <v>693</v>
      </c>
    </row>
    <row r="186" spans="1:17" ht="14.5" hidden="1" customHeight="1">
      <c r="A186">
        <v>155</v>
      </c>
      <c r="B186" t="str">
        <f t="shared" si="4"/>
        <v>155 - Lagartija de Fox</v>
      </c>
      <c r="C186" t="str">
        <f t="shared" si="5"/>
        <v>Lagartija de Fox</v>
      </c>
      <c r="D186" s="5" t="s">
        <v>386</v>
      </c>
      <c r="E186" s="6" t="s">
        <v>387</v>
      </c>
      <c r="F186" t="s">
        <v>115</v>
      </c>
      <c r="G186" t="s">
        <v>243</v>
      </c>
      <c r="Q186" t="s">
        <v>693</v>
      </c>
    </row>
    <row r="187" spans="1:17" ht="14.5" hidden="1" customHeight="1">
      <c r="A187">
        <v>156</v>
      </c>
      <c r="B187" t="str">
        <f t="shared" si="4"/>
        <v>156 - Lagartija del Cerro Cantillana</v>
      </c>
      <c r="C187" t="str">
        <f t="shared" si="5"/>
        <v>Lagartija del Cerro Cantillana</v>
      </c>
      <c r="D187" s="5" t="s">
        <v>388</v>
      </c>
      <c r="E187" s="6" t="s">
        <v>389</v>
      </c>
      <c r="F187" t="s">
        <v>115</v>
      </c>
      <c r="G187" t="s">
        <v>243</v>
      </c>
      <c r="Q187" t="s">
        <v>693</v>
      </c>
    </row>
    <row r="188" spans="1:17" ht="14.5" hidden="1" customHeight="1">
      <c r="A188">
        <v>157</v>
      </c>
      <c r="B188" t="str">
        <f t="shared" si="4"/>
        <v>157 - Lagartija de Leftraru</v>
      </c>
      <c r="C188" t="str">
        <f t="shared" si="5"/>
        <v>Lagartija de Leftraru</v>
      </c>
      <c r="D188" s="5" t="s">
        <v>390</v>
      </c>
      <c r="E188" s="6" t="s">
        <v>391</v>
      </c>
      <c r="F188" t="s">
        <v>115</v>
      </c>
      <c r="G188" t="s">
        <v>243</v>
      </c>
      <c r="Q188" t="s">
        <v>693</v>
      </c>
    </row>
    <row r="189" spans="1:17" ht="14.5" hidden="1" customHeight="1">
      <c r="A189">
        <v>158</v>
      </c>
      <c r="B189" t="str">
        <f t="shared" si="4"/>
        <v>158 - Lagarto leopardo</v>
      </c>
      <c r="C189" t="str">
        <f t="shared" si="5"/>
        <v>Lagarto leopardo</v>
      </c>
      <c r="D189" s="5" t="s">
        <v>392</v>
      </c>
      <c r="E189" s="6" t="s">
        <v>393</v>
      </c>
      <c r="F189" t="s">
        <v>115</v>
      </c>
      <c r="G189" t="s">
        <v>243</v>
      </c>
      <c r="Q189" t="s">
        <v>693</v>
      </c>
    </row>
    <row r="190" spans="1:17" ht="14.5" hidden="1" customHeight="1">
      <c r="A190">
        <v>159</v>
      </c>
      <c r="B190" t="str">
        <f t="shared" si="4"/>
        <v>159 - Lagartija de Manuel</v>
      </c>
      <c r="C190" t="str">
        <f t="shared" si="5"/>
        <v>Lagartija de Manuel</v>
      </c>
      <c r="D190" s="7" t="s">
        <v>394</v>
      </c>
      <c r="E190" s="8" t="s">
        <v>395</v>
      </c>
      <c r="F190" t="s">
        <v>115</v>
      </c>
      <c r="G190" t="s">
        <v>243</v>
      </c>
      <c r="Q190" t="s">
        <v>693</v>
      </c>
    </row>
    <row r="191" spans="1:17" ht="14.5" hidden="1" customHeight="1">
      <c r="A191">
        <v>160</v>
      </c>
      <c r="B191" t="str">
        <f t="shared" si="4"/>
        <v>160 - Lagartija negro azulada</v>
      </c>
      <c r="C191" t="str">
        <f t="shared" si="5"/>
        <v>Lagartija negro azulada</v>
      </c>
      <c r="D191" s="7" t="s">
        <v>396</v>
      </c>
      <c r="E191" s="8" t="s">
        <v>397</v>
      </c>
      <c r="F191" t="s">
        <v>115</v>
      </c>
      <c r="G191" t="s">
        <v>243</v>
      </c>
      <c r="Q191" t="s">
        <v>693</v>
      </c>
    </row>
    <row r="192" spans="1:17" ht="14.5" hidden="1" customHeight="1">
      <c r="A192">
        <v>161</v>
      </c>
      <c r="B192" t="str">
        <f t="shared" si="4"/>
        <v>161 - Lagarto de Poconchile</v>
      </c>
      <c r="C192" t="str">
        <f t="shared" si="5"/>
        <v>Lagarto de Poconchile</v>
      </c>
      <c r="D192" s="7" t="s">
        <v>398</v>
      </c>
      <c r="E192" s="8" t="s">
        <v>399</v>
      </c>
      <c r="F192" t="s">
        <v>115</v>
      </c>
      <c r="G192" t="s">
        <v>243</v>
      </c>
      <c r="Q192" t="s">
        <v>693</v>
      </c>
    </row>
    <row r="193" spans="1:17" ht="14.5" hidden="1" customHeight="1">
      <c r="A193">
        <v>162</v>
      </c>
      <c r="B193" t="str">
        <f t="shared" si="4"/>
        <v>162 - Lagarto del escorial</v>
      </c>
      <c r="C193" t="str">
        <f t="shared" si="5"/>
        <v>Lagarto del escorial</v>
      </c>
      <c r="D193" s="7" t="s">
        <v>400</v>
      </c>
      <c r="E193" s="8" t="s">
        <v>401</v>
      </c>
      <c r="F193" t="s">
        <v>115</v>
      </c>
      <c r="G193" t="s">
        <v>243</v>
      </c>
      <c r="Q193" t="s">
        <v>693</v>
      </c>
    </row>
    <row r="194" spans="1:17" ht="14.5" hidden="1" customHeight="1">
      <c r="A194">
        <v>163</v>
      </c>
      <c r="B194" t="str">
        <f t="shared" ref="B194:B257" si="6">A194 &amp; " - " &amp; C194</f>
        <v>163 - Lagartija pintada septentrional</v>
      </c>
      <c r="C194" t="str">
        <f t="shared" ref="C194:C257" si="7">IF(E194="", D194, LEFT(E194, SEARCH(",", E194 &amp; ",") - 1))</f>
        <v>Lagartija pintada septentrional</v>
      </c>
      <c r="D194" s="7" t="s">
        <v>402</v>
      </c>
      <c r="E194" s="8" t="s">
        <v>403</v>
      </c>
      <c r="F194" t="s">
        <v>115</v>
      </c>
      <c r="G194" t="s">
        <v>243</v>
      </c>
      <c r="Q194" t="s">
        <v>693</v>
      </c>
    </row>
    <row r="195" spans="1:17" ht="14.5" hidden="1" customHeight="1">
      <c r="A195">
        <v>164</v>
      </c>
      <c r="B195" t="str">
        <f t="shared" si="6"/>
        <v>164 - Lagarto leopardo de Ubaghs</v>
      </c>
      <c r="C195" t="str">
        <f t="shared" si="7"/>
        <v>Lagarto leopardo de Ubaghs</v>
      </c>
      <c r="D195" s="7" t="s">
        <v>404</v>
      </c>
      <c r="E195" s="8" t="s">
        <v>405</v>
      </c>
      <c r="F195" t="s">
        <v>115</v>
      </c>
      <c r="G195" t="s">
        <v>243</v>
      </c>
      <c r="Q195" t="s">
        <v>693</v>
      </c>
    </row>
    <row r="196" spans="1:17" ht="14.5" hidden="1" customHeight="1">
      <c r="A196">
        <v>165</v>
      </c>
      <c r="B196" t="str">
        <f t="shared" si="6"/>
        <v>165 - Lagartija</v>
      </c>
      <c r="C196" t="str">
        <f t="shared" si="7"/>
        <v>Lagartija</v>
      </c>
      <c r="D196" s="7" t="s">
        <v>406</v>
      </c>
      <c r="E196" s="8" t="s">
        <v>407</v>
      </c>
      <c r="F196" t="s">
        <v>115</v>
      </c>
      <c r="G196" t="s">
        <v>243</v>
      </c>
      <c r="Q196" t="s">
        <v>693</v>
      </c>
    </row>
    <row r="197" spans="1:17" ht="14.5" hidden="1" customHeight="1">
      <c r="A197">
        <v>166</v>
      </c>
      <c r="B197" t="str">
        <f t="shared" si="6"/>
        <v>166 - Pololo de Paposo</v>
      </c>
      <c r="C197" t="str">
        <f t="shared" si="7"/>
        <v>Pololo de Paposo</v>
      </c>
      <c r="D197" s="7" t="s">
        <v>408</v>
      </c>
      <c r="E197" s="8" t="s">
        <v>409</v>
      </c>
      <c r="F197" t="s">
        <v>45</v>
      </c>
      <c r="G197" t="s">
        <v>243</v>
      </c>
      <c r="Q197" t="s">
        <v>693</v>
      </c>
    </row>
    <row r="198" spans="1:17" ht="14.5" hidden="1" customHeight="1">
      <c r="A198">
        <v>167</v>
      </c>
      <c r="B198" t="str">
        <f t="shared" si="6"/>
        <v>167 - Zorro de Chiloé</v>
      </c>
      <c r="C198" t="str">
        <f t="shared" si="7"/>
        <v>Zorro de Chiloé</v>
      </c>
      <c r="D198" s="7" t="s">
        <v>410</v>
      </c>
      <c r="E198" s="8" t="s">
        <v>411</v>
      </c>
      <c r="F198" t="s">
        <v>314</v>
      </c>
      <c r="G198" t="s">
        <v>243</v>
      </c>
      <c r="Q198" t="s">
        <v>693</v>
      </c>
    </row>
    <row r="199" spans="1:17" ht="14.5" hidden="1" customHeight="1">
      <c r="A199">
        <v>168</v>
      </c>
      <c r="B199" t="str">
        <f t="shared" si="6"/>
        <v>168 - Camarón almeja de Huentelauquén</v>
      </c>
      <c r="C199" t="str">
        <f t="shared" si="7"/>
        <v>Camarón almeja de Huentelauquén</v>
      </c>
      <c r="D199" s="7" t="s">
        <v>412</v>
      </c>
      <c r="E199" s="8" t="s">
        <v>413</v>
      </c>
      <c r="F199" t="s">
        <v>414</v>
      </c>
      <c r="G199" t="s">
        <v>243</v>
      </c>
      <c r="Q199" t="s">
        <v>693</v>
      </c>
    </row>
    <row r="200" spans="1:17" ht="14.5" hidden="1" customHeight="1">
      <c r="A200">
        <v>169</v>
      </c>
      <c r="B200" t="str">
        <f t="shared" si="6"/>
        <v>169 - Lamprea de agua dulce</v>
      </c>
      <c r="C200" t="str">
        <f t="shared" si="7"/>
        <v>Lamprea de agua dulce</v>
      </c>
      <c r="D200" s="7" t="s">
        <v>415</v>
      </c>
      <c r="E200" s="8" t="s">
        <v>416</v>
      </c>
      <c r="F200" t="s">
        <v>417</v>
      </c>
      <c r="G200" t="s">
        <v>243</v>
      </c>
      <c r="Q200" t="s">
        <v>693</v>
      </c>
    </row>
    <row r="201" spans="1:17" ht="14.5" hidden="1" customHeight="1">
      <c r="A201">
        <v>170</v>
      </c>
      <c r="B201" t="str">
        <f t="shared" si="6"/>
        <v>170 - Bagre grande</v>
      </c>
      <c r="C201" t="str">
        <f t="shared" si="7"/>
        <v>Bagre grande</v>
      </c>
      <c r="D201" s="7" t="s">
        <v>418</v>
      </c>
      <c r="E201" s="8" t="s">
        <v>419</v>
      </c>
      <c r="F201" t="s">
        <v>131</v>
      </c>
      <c r="G201" t="s">
        <v>243</v>
      </c>
      <c r="Q201" t="s">
        <v>693</v>
      </c>
    </row>
    <row r="202" spans="1:17" ht="14.5" hidden="1" customHeight="1">
      <c r="A202">
        <v>171</v>
      </c>
      <c r="B202" t="str">
        <f t="shared" si="6"/>
        <v>171 - No tiene</v>
      </c>
      <c r="C202" t="str">
        <f t="shared" si="7"/>
        <v>No tiene</v>
      </c>
      <c r="D202" s="7" t="s">
        <v>420</v>
      </c>
      <c r="E202" s="8" t="s">
        <v>421</v>
      </c>
      <c r="F202" t="s">
        <v>45</v>
      </c>
      <c r="G202" t="s">
        <v>243</v>
      </c>
      <c r="Q202" t="s">
        <v>693</v>
      </c>
    </row>
    <row r="203" spans="1:17" ht="14.5" hidden="1" customHeight="1">
      <c r="A203">
        <v>172</v>
      </c>
      <c r="B203" t="str">
        <f t="shared" si="6"/>
        <v>172 - Insecto joya</v>
      </c>
      <c r="C203" t="str">
        <f t="shared" si="7"/>
        <v>Insecto joya</v>
      </c>
      <c r="D203" s="7" t="s">
        <v>422</v>
      </c>
      <c r="E203" s="8" t="s">
        <v>423</v>
      </c>
      <c r="F203" t="s">
        <v>45</v>
      </c>
      <c r="G203" t="s">
        <v>243</v>
      </c>
      <c r="Q203" t="s">
        <v>693</v>
      </c>
    </row>
    <row r="204" spans="1:17" ht="14.5" hidden="1" customHeight="1">
      <c r="A204">
        <v>173</v>
      </c>
      <c r="B204" t="str">
        <f t="shared" si="6"/>
        <v>173 - Cucaracho negro</v>
      </c>
      <c r="C204" t="str">
        <f t="shared" si="7"/>
        <v>Cucaracho negro</v>
      </c>
      <c r="D204" s="7" t="s">
        <v>424</v>
      </c>
      <c r="E204" s="8" t="s">
        <v>425</v>
      </c>
      <c r="F204" t="s">
        <v>45</v>
      </c>
      <c r="G204" t="s">
        <v>243</v>
      </c>
      <c r="Q204" t="s">
        <v>693</v>
      </c>
    </row>
    <row r="205" spans="1:17" ht="14.5" hidden="1" customHeight="1">
      <c r="A205">
        <v>174</v>
      </c>
      <c r="B205" t="str">
        <f t="shared" si="6"/>
        <v>174 - Tenebrio de Mannerheim</v>
      </c>
      <c r="C205" t="str">
        <f t="shared" si="7"/>
        <v>Tenebrio de Mannerheim</v>
      </c>
      <c r="D205" s="7" t="s">
        <v>426</v>
      </c>
      <c r="E205" s="8" t="s">
        <v>427</v>
      </c>
      <c r="F205" t="s">
        <v>45</v>
      </c>
      <c r="G205" t="s">
        <v>243</v>
      </c>
      <c r="Q205" t="s">
        <v>693</v>
      </c>
    </row>
    <row r="206" spans="1:17" ht="14.5" hidden="1" customHeight="1">
      <c r="A206">
        <v>175</v>
      </c>
      <c r="B206" t="str">
        <f t="shared" si="6"/>
        <v>175 - Oogenius castilloi</v>
      </c>
      <c r="C206" t="str">
        <f t="shared" si="7"/>
        <v>Oogenius castilloi</v>
      </c>
      <c r="D206" s="9" t="s">
        <v>428</v>
      </c>
      <c r="E206" s="8"/>
      <c r="F206" t="s">
        <v>45</v>
      </c>
      <c r="G206" t="s">
        <v>243</v>
      </c>
      <c r="Q206" t="s">
        <v>693</v>
      </c>
    </row>
    <row r="207" spans="1:17" ht="14.5" hidden="1" customHeight="1">
      <c r="A207">
        <v>176</v>
      </c>
      <c r="B207" t="str">
        <f t="shared" si="6"/>
        <v>176 - Oogenius penai</v>
      </c>
      <c r="C207" t="str">
        <f t="shared" si="7"/>
        <v>Oogenius penai</v>
      </c>
      <c r="D207" s="9" t="s">
        <v>429</v>
      </c>
      <c r="E207" s="8"/>
      <c r="F207" t="s">
        <v>45</v>
      </c>
      <c r="G207" t="s">
        <v>243</v>
      </c>
      <c r="Q207" t="s">
        <v>693</v>
      </c>
    </row>
    <row r="208" spans="1:17" ht="14.5" hidden="1" customHeight="1">
      <c r="A208">
        <v>177</v>
      </c>
      <c r="B208" t="str">
        <f t="shared" si="6"/>
        <v>177 - Karachi</v>
      </c>
      <c r="C208" t="str">
        <f t="shared" si="7"/>
        <v>Karachi</v>
      </c>
      <c r="D208" s="9" t="s">
        <v>430</v>
      </c>
      <c r="E208" s="8" t="s">
        <v>431</v>
      </c>
      <c r="F208" t="s">
        <v>131</v>
      </c>
      <c r="G208" t="s">
        <v>243</v>
      </c>
      <c r="Q208" t="s">
        <v>693</v>
      </c>
    </row>
    <row r="209" spans="1:17" ht="14.5" hidden="1" customHeight="1">
      <c r="A209">
        <v>178</v>
      </c>
      <c r="B209" t="str">
        <f t="shared" si="6"/>
        <v>178 - Karachi</v>
      </c>
      <c r="C209" t="str">
        <f t="shared" si="7"/>
        <v>Karachi</v>
      </c>
      <c r="D209" s="9" t="s">
        <v>432</v>
      </c>
      <c r="E209" s="8" t="s">
        <v>431</v>
      </c>
      <c r="F209" t="s">
        <v>131</v>
      </c>
      <c r="G209" t="s">
        <v>243</v>
      </c>
      <c r="Q209" t="s">
        <v>693</v>
      </c>
    </row>
    <row r="210" spans="1:17" ht="14.5" hidden="1" customHeight="1">
      <c r="A210">
        <v>179</v>
      </c>
      <c r="B210" t="str">
        <f t="shared" si="6"/>
        <v>179 - Karachi</v>
      </c>
      <c r="C210" t="str">
        <f t="shared" si="7"/>
        <v>Karachi</v>
      </c>
      <c r="D210" s="9" t="s">
        <v>433</v>
      </c>
      <c r="E210" s="8" t="s">
        <v>431</v>
      </c>
      <c r="F210" t="s">
        <v>131</v>
      </c>
      <c r="G210" t="s">
        <v>243</v>
      </c>
      <c r="Q210" t="s">
        <v>693</v>
      </c>
    </row>
    <row r="211" spans="1:17" ht="14.5" hidden="1" customHeight="1">
      <c r="A211">
        <v>180</v>
      </c>
      <c r="B211" t="str">
        <f t="shared" si="6"/>
        <v>180 - Karachi</v>
      </c>
      <c r="C211" t="str">
        <f t="shared" si="7"/>
        <v>Karachi</v>
      </c>
      <c r="D211" s="9" t="s">
        <v>434</v>
      </c>
      <c r="E211" s="8" t="s">
        <v>431</v>
      </c>
      <c r="F211" t="s">
        <v>131</v>
      </c>
      <c r="G211" t="s">
        <v>243</v>
      </c>
      <c r="Q211" t="s">
        <v>693</v>
      </c>
    </row>
    <row r="212" spans="1:17" ht="14.5" hidden="1" customHeight="1">
      <c r="A212">
        <v>181</v>
      </c>
      <c r="B212" t="str">
        <f t="shared" si="6"/>
        <v>181 - Gusano aterciopelado</v>
      </c>
      <c r="C212" t="str">
        <f t="shared" si="7"/>
        <v>Gusano aterciopelado</v>
      </c>
      <c r="D212" s="9" t="s">
        <v>435</v>
      </c>
      <c r="E212" s="8" t="s">
        <v>436</v>
      </c>
      <c r="F212" t="s">
        <v>437</v>
      </c>
      <c r="G212" t="s">
        <v>243</v>
      </c>
      <c r="Q212" t="s">
        <v>693</v>
      </c>
    </row>
    <row r="213" spans="1:17" ht="14.5" hidden="1" customHeight="1">
      <c r="A213">
        <v>182</v>
      </c>
      <c r="B213" t="str">
        <f t="shared" si="6"/>
        <v>182 - Carmelita</v>
      </c>
      <c r="C213" t="str">
        <f t="shared" si="7"/>
        <v>Carmelita</v>
      </c>
      <c r="D213" s="9" t="s">
        <v>438</v>
      </c>
      <c r="E213" s="8" t="s">
        <v>439</v>
      </c>
      <c r="F213" t="s">
        <v>131</v>
      </c>
      <c r="G213" t="s">
        <v>243</v>
      </c>
      <c r="Q213" t="s">
        <v>693</v>
      </c>
    </row>
    <row r="214" spans="1:17" ht="14.5" hidden="1" customHeight="1">
      <c r="A214">
        <v>183</v>
      </c>
      <c r="B214" t="str">
        <f t="shared" si="6"/>
        <v>183 - Carmelita de Concepción</v>
      </c>
      <c r="C214" t="str">
        <f t="shared" si="7"/>
        <v>Carmelita de Concepción</v>
      </c>
      <c r="D214" s="9" t="s">
        <v>440</v>
      </c>
      <c r="E214" s="8" t="s">
        <v>441</v>
      </c>
      <c r="F214" t="s">
        <v>131</v>
      </c>
      <c r="G214" t="s">
        <v>243</v>
      </c>
      <c r="Q214" t="s">
        <v>693</v>
      </c>
    </row>
    <row r="215" spans="1:17" ht="14.5" hidden="1" customHeight="1">
      <c r="A215">
        <v>184</v>
      </c>
      <c r="B215" t="str">
        <f t="shared" si="6"/>
        <v>184 - Phyllopetalia altarensis</v>
      </c>
      <c r="C215" t="str">
        <f t="shared" si="7"/>
        <v>Phyllopetalia altarensis</v>
      </c>
      <c r="D215" s="9" t="s">
        <v>442</v>
      </c>
      <c r="E215" s="10"/>
      <c r="F215" t="s">
        <v>45</v>
      </c>
      <c r="G215" t="s">
        <v>243</v>
      </c>
      <c r="Q215" t="s">
        <v>693</v>
      </c>
    </row>
    <row r="216" spans="1:17" ht="14.5" hidden="1" customHeight="1">
      <c r="A216">
        <v>185</v>
      </c>
      <c r="B216" t="str">
        <f t="shared" si="6"/>
        <v>185 - Matuasto de Bibron</v>
      </c>
      <c r="C216" t="str">
        <f t="shared" si="7"/>
        <v>Matuasto de Bibron</v>
      </c>
      <c r="D216" s="9" t="s">
        <v>443</v>
      </c>
      <c r="E216" s="10" t="s">
        <v>444</v>
      </c>
      <c r="F216" t="s">
        <v>115</v>
      </c>
      <c r="G216" t="s">
        <v>243</v>
      </c>
      <c r="Q216" t="s">
        <v>693</v>
      </c>
    </row>
    <row r="217" spans="1:17" ht="14.5" hidden="1" customHeight="1">
      <c r="A217">
        <v>186</v>
      </c>
      <c r="B217" t="str">
        <f t="shared" si="6"/>
        <v>186 - Matuasto de Darwin</v>
      </c>
      <c r="C217" t="str">
        <f t="shared" si="7"/>
        <v>Matuasto de Darwin</v>
      </c>
      <c r="D217" s="11" t="s">
        <v>445</v>
      </c>
      <c r="E217" s="10" t="s">
        <v>446</v>
      </c>
      <c r="F217" t="s">
        <v>115</v>
      </c>
      <c r="G217" t="s">
        <v>243</v>
      </c>
      <c r="Q217" t="s">
        <v>693</v>
      </c>
    </row>
    <row r="218" spans="1:17" ht="14.5" hidden="1" customHeight="1">
      <c r="A218">
        <v>187</v>
      </c>
      <c r="B218" t="str">
        <f t="shared" si="6"/>
        <v>187 - Matuasto</v>
      </c>
      <c r="C218" t="str">
        <f t="shared" si="7"/>
        <v>Matuasto</v>
      </c>
      <c r="D218" s="9" t="s">
        <v>447</v>
      </c>
      <c r="E218" s="10" t="s">
        <v>448</v>
      </c>
      <c r="F218" t="s">
        <v>115</v>
      </c>
      <c r="G218" t="s">
        <v>243</v>
      </c>
      <c r="Q218" t="s">
        <v>693</v>
      </c>
    </row>
    <row r="219" spans="1:17" ht="14.5" hidden="1" customHeight="1">
      <c r="A219">
        <v>188</v>
      </c>
      <c r="B219" t="str">
        <f t="shared" si="6"/>
        <v>188 - Caracol de árbol araucano</v>
      </c>
      <c r="C219" t="str">
        <f t="shared" si="7"/>
        <v>Caracol de árbol araucano</v>
      </c>
      <c r="D219" s="9" t="s">
        <v>449</v>
      </c>
      <c r="E219" s="10" t="s">
        <v>450</v>
      </c>
      <c r="F219" t="s">
        <v>33</v>
      </c>
      <c r="G219" t="s">
        <v>243</v>
      </c>
      <c r="Q219" t="s">
        <v>693</v>
      </c>
    </row>
    <row r="220" spans="1:17" ht="14.5" hidden="1" customHeight="1">
      <c r="A220">
        <v>189</v>
      </c>
      <c r="B220" t="str">
        <f t="shared" si="6"/>
        <v>189 - Vaquita</v>
      </c>
      <c r="C220" t="str">
        <f t="shared" si="7"/>
        <v>Vaquita</v>
      </c>
      <c r="D220" s="5" t="s">
        <v>451</v>
      </c>
      <c r="E220" s="6" t="s">
        <v>452</v>
      </c>
      <c r="F220" t="s">
        <v>45</v>
      </c>
      <c r="G220" t="s">
        <v>243</v>
      </c>
      <c r="Q220" t="s">
        <v>693</v>
      </c>
    </row>
    <row r="221" spans="1:17" ht="14.5" hidden="1" customHeight="1">
      <c r="A221">
        <v>190</v>
      </c>
      <c r="B221" t="str">
        <f t="shared" si="6"/>
        <v>190 - Vaquita del bicentenario</v>
      </c>
      <c r="C221" t="str">
        <f t="shared" si="7"/>
        <v>Vaquita del bicentenario</v>
      </c>
      <c r="D221" s="5" t="s">
        <v>453</v>
      </c>
      <c r="E221" s="6" t="s">
        <v>454</v>
      </c>
      <c r="F221" t="s">
        <v>45</v>
      </c>
      <c r="G221" t="s">
        <v>243</v>
      </c>
      <c r="Q221" t="s">
        <v>693</v>
      </c>
    </row>
    <row r="222" spans="1:17" ht="14.5" hidden="1" customHeight="1">
      <c r="A222">
        <v>191</v>
      </c>
      <c r="B222" t="str">
        <f t="shared" si="6"/>
        <v>191 - Gruñidor de Valeria</v>
      </c>
      <c r="C222" t="str">
        <f t="shared" si="7"/>
        <v>Gruñidor de Valeria</v>
      </c>
      <c r="D222" s="5" t="s">
        <v>455</v>
      </c>
      <c r="E222" s="6" t="s">
        <v>456</v>
      </c>
      <c r="F222" t="s">
        <v>115</v>
      </c>
      <c r="G222" t="s">
        <v>243</v>
      </c>
      <c r="Q222" t="s">
        <v>693</v>
      </c>
    </row>
    <row r="223" spans="1:17" ht="14.5" hidden="1" customHeight="1">
      <c r="A223">
        <v>192</v>
      </c>
      <c r="B223" t="str">
        <f t="shared" si="6"/>
        <v>192 - Gruñidor de El Volcán</v>
      </c>
      <c r="C223" t="str">
        <f t="shared" si="7"/>
        <v>Gruñidor de El Volcán</v>
      </c>
      <c r="D223" s="5" t="s">
        <v>457</v>
      </c>
      <c r="E223" s="6" t="s">
        <v>458</v>
      </c>
      <c r="F223" t="s">
        <v>115</v>
      </c>
      <c r="G223" t="s">
        <v>243</v>
      </c>
      <c r="Q223" t="s">
        <v>693</v>
      </c>
    </row>
    <row r="224" spans="1:17" ht="14.5" hidden="1" customHeight="1">
      <c r="A224">
        <v>193</v>
      </c>
      <c r="B224" t="str">
        <f t="shared" si="6"/>
        <v>193 - Fardela blanca de Juan Fernández</v>
      </c>
      <c r="C224" t="str">
        <f t="shared" si="7"/>
        <v>Fardela blanca de Juan Fernández</v>
      </c>
      <c r="D224" s="5" t="s">
        <v>459</v>
      </c>
      <c r="E224" s="6" t="s">
        <v>460</v>
      </c>
      <c r="F224" t="s">
        <v>38</v>
      </c>
      <c r="G224" t="s">
        <v>243</v>
      </c>
      <c r="Q224" t="s">
        <v>693</v>
      </c>
    </row>
    <row r="225" spans="1:17" ht="14.5" hidden="1" customHeight="1">
      <c r="A225">
        <v>194</v>
      </c>
      <c r="B225" t="str">
        <f t="shared" si="6"/>
        <v>194 - Fardela de Más Afuera</v>
      </c>
      <c r="C225" t="str">
        <f t="shared" si="7"/>
        <v>Fardela de Más Afuera</v>
      </c>
      <c r="D225" s="5" t="s">
        <v>461</v>
      </c>
      <c r="E225" s="6" t="s">
        <v>462</v>
      </c>
      <c r="F225" t="s">
        <v>38</v>
      </c>
      <c r="G225" t="s">
        <v>243</v>
      </c>
      <c r="Q225" t="s">
        <v>693</v>
      </c>
    </row>
    <row r="226" spans="1:17" ht="14.5" hidden="1" customHeight="1">
      <c r="A226">
        <v>195</v>
      </c>
      <c r="B226" t="str">
        <f t="shared" si="6"/>
        <v>195 - Caracol terrestre Ptychodon</v>
      </c>
      <c r="C226" t="str">
        <f t="shared" si="7"/>
        <v>Caracol terrestre Ptychodon</v>
      </c>
      <c r="D226" s="5" t="s">
        <v>463</v>
      </c>
      <c r="E226" s="6" t="s">
        <v>464</v>
      </c>
      <c r="F226" t="s">
        <v>33</v>
      </c>
      <c r="G226" t="s">
        <v>243</v>
      </c>
      <c r="Q226" t="s">
        <v>693</v>
      </c>
    </row>
    <row r="227" spans="1:17" ht="14.5" hidden="1" customHeight="1">
      <c r="A227">
        <v>196</v>
      </c>
      <c r="B227" t="str">
        <f t="shared" si="6"/>
        <v>196 - Caracol terrestre Ptychodon</v>
      </c>
      <c r="C227" t="str">
        <f t="shared" si="7"/>
        <v>Caracol terrestre Ptychodon</v>
      </c>
      <c r="D227" s="5" t="s">
        <v>465</v>
      </c>
      <c r="E227" s="6" t="s">
        <v>464</v>
      </c>
      <c r="F227" t="s">
        <v>33</v>
      </c>
      <c r="G227" t="s">
        <v>243</v>
      </c>
      <c r="Q227" t="s">
        <v>693</v>
      </c>
    </row>
    <row r="228" spans="1:17" ht="14.5" hidden="1" customHeight="1">
      <c r="A228">
        <v>197</v>
      </c>
      <c r="B228" t="str">
        <f t="shared" si="6"/>
        <v>197 - Scotobius planicosta</v>
      </c>
      <c r="C228" t="str">
        <f t="shared" si="7"/>
        <v>Scotobius planicosta</v>
      </c>
      <c r="D228" s="5" t="s">
        <v>466</v>
      </c>
      <c r="E228" s="6"/>
      <c r="F228" t="s">
        <v>45</v>
      </c>
      <c r="G228" t="s">
        <v>243</v>
      </c>
      <c r="Q228" t="s">
        <v>693</v>
      </c>
    </row>
    <row r="229" spans="1:17" ht="14.5" hidden="1" customHeight="1">
      <c r="A229">
        <v>198</v>
      </c>
      <c r="B229" t="str">
        <f t="shared" si="6"/>
        <v>198 - Caracol terrestre Succinea</v>
      </c>
      <c r="C229" t="str">
        <f t="shared" si="7"/>
        <v>Caracol terrestre Succinea</v>
      </c>
      <c r="D229" s="5" t="s">
        <v>467</v>
      </c>
      <c r="E229" s="6" t="s">
        <v>468</v>
      </c>
      <c r="F229" t="s">
        <v>33</v>
      </c>
      <c r="G229" t="s">
        <v>243</v>
      </c>
      <c r="Q229" t="s">
        <v>693</v>
      </c>
    </row>
    <row r="230" spans="1:17" ht="14.5" hidden="1" customHeight="1">
      <c r="A230">
        <v>199</v>
      </c>
      <c r="B230" t="str">
        <f t="shared" si="6"/>
        <v>199 - Caracol terrestre Succinea</v>
      </c>
      <c r="C230" t="str">
        <f t="shared" si="7"/>
        <v>Caracol terrestre Succinea</v>
      </c>
      <c r="D230" s="5" t="s">
        <v>469</v>
      </c>
      <c r="E230" s="6" t="s">
        <v>468</v>
      </c>
      <c r="F230" t="s">
        <v>33</v>
      </c>
      <c r="G230" t="s">
        <v>243</v>
      </c>
      <c r="Q230" t="s">
        <v>693</v>
      </c>
    </row>
    <row r="231" spans="1:17" ht="14.5" hidden="1" customHeight="1">
      <c r="A231">
        <v>200</v>
      </c>
      <c r="B231" t="str">
        <f t="shared" si="6"/>
        <v>200 - Caracol terrestre Succinea</v>
      </c>
      <c r="C231" t="str">
        <f t="shared" si="7"/>
        <v>Caracol terrestre Succinea</v>
      </c>
      <c r="D231" s="5" t="s">
        <v>470</v>
      </c>
      <c r="E231" s="6" t="s">
        <v>468</v>
      </c>
      <c r="F231" t="s">
        <v>33</v>
      </c>
      <c r="G231" t="s">
        <v>243</v>
      </c>
      <c r="Q231" t="s">
        <v>693</v>
      </c>
    </row>
    <row r="232" spans="1:17" ht="14.5" hidden="1" customHeight="1">
      <c r="A232">
        <v>201</v>
      </c>
      <c r="B232" t="str">
        <f t="shared" si="6"/>
        <v>201 - Sapo de Pefaur</v>
      </c>
      <c r="C232" t="str">
        <f t="shared" si="7"/>
        <v>Sapo de Pefaur</v>
      </c>
      <c r="D232" s="5" t="s">
        <v>471</v>
      </c>
      <c r="E232" s="6" t="s">
        <v>472</v>
      </c>
      <c r="F232" t="s">
        <v>26</v>
      </c>
      <c r="G232" t="s">
        <v>255</v>
      </c>
      <c r="Q232" t="s">
        <v>693</v>
      </c>
    </row>
    <row r="233" spans="1:17" ht="14.5" hidden="1" customHeight="1">
      <c r="A233">
        <v>202</v>
      </c>
      <c r="B233" t="str">
        <f t="shared" si="6"/>
        <v>202 - Sapo de Philippi</v>
      </c>
      <c r="C233" t="str">
        <f t="shared" si="7"/>
        <v>Sapo de Philippi</v>
      </c>
      <c r="D233" s="9" t="s">
        <v>473</v>
      </c>
      <c r="E233" s="8" t="s">
        <v>474</v>
      </c>
      <c r="F233" t="s">
        <v>26</v>
      </c>
      <c r="G233" t="s">
        <v>243</v>
      </c>
      <c r="Q233" t="s">
        <v>693</v>
      </c>
    </row>
    <row r="234" spans="1:17" ht="14.5" hidden="1" customHeight="1">
      <c r="A234">
        <v>203</v>
      </c>
      <c r="B234" t="str">
        <f t="shared" si="6"/>
        <v>203 - Sapo de Zapahuira</v>
      </c>
      <c r="C234" t="str">
        <f t="shared" si="7"/>
        <v>Sapo de Zapahuira</v>
      </c>
      <c r="D234" s="9" t="s">
        <v>475</v>
      </c>
      <c r="E234" s="8" t="s">
        <v>476</v>
      </c>
      <c r="F234" t="s">
        <v>26</v>
      </c>
      <c r="G234" t="s">
        <v>255</v>
      </c>
      <c r="Q234" t="s">
        <v>693</v>
      </c>
    </row>
    <row r="235" spans="1:17" ht="14.5" hidden="1" customHeight="1">
      <c r="A235">
        <v>204</v>
      </c>
      <c r="B235" t="str">
        <f t="shared" si="6"/>
        <v>204 - Rana montana de Los Queules</v>
      </c>
      <c r="C235" t="str">
        <f t="shared" si="7"/>
        <v>Rana montana de Los Queules</v>
      </c>
      <c r="D235" s="9" t="s">
        <v>477</v>
      </c>
      <c r="E235" s="10" t="s">
        <v>478</v>
      </c>
      <c r="F235" t="s">
        <v>26</v>
      </c>
      <c r="G235" t="s">
        <v>243</v>
      </c>
      <c r="Q235" t="s">
        <v>693</v>
      </c>
    </row>
    <row r="236" spans="1:17" ht="14.5" hidden="1" customHeight="1">
      <c r="A236">
        <v>205</v>
      </c>
      <c r="B236" t="str">
        <f t="shared" si="6"/>
        <v>205 - Sapo hermoso</v>
      </c>
      <c r="C236" t="str">
        <f t="shared" si="7"/>
        <v>Sapo hermoso</v>
      </c>
      <c r="D236" s="9" t="s">
        <v>479</v>
      </c>
      <c r="E236" s="10" t="s">
        <v>480</v>
      </c>
      <c r="F236" t="s">
        <v>26</v>
      </c>
      <c r="G236" t="s">
        <v>243</v>
      </c>
      <c r="Q236" t="s">
        <v>693</v>
      </c>
    </row>
    <row r="237" spans="1:17" ht="14.5" hidden="1" customHeight="1">
      <c r="A237">
        <v>206</v>
      </c>
      <c r="B237" t="str">
        <f t="shared" si="6"/>
        <v>206 - Caracol terrestre Tornatellina</v>
      </c>
      <c r="C237" t="str">
        <f t="shared" si="7"/>
        <v>Caracol terrestre Tornatellina</v>
      </c>
      <c r="D237" s="9" t="s">
        <v>481</v>
      </c>
      <c r="E237" s="10" t="s">
        <v>482</v>
      </c>
      <c r="F237" t="s">
        <v>33</v>
      </c>
      <c r="G237" t="s">
        <v>243</v>
      </c>
      <c r="Q237" t="s">
        <v>693</v>
      </c>
    </row>
    <row r="238" spans="1:17" ht="14.5" hidden="1" customHeight="1">
      <c r="A238">
        <v>207</v>
      </c>
      <c r="B238" t="str">
        <f t="shared" si="6"/>
        <v>207 - Bagrecito</v>
      </c>
      <c r="C238" t="str">
        <f t="shared" si="7"/>
        <v>Bagrecito</v>
      </c>
      <c r="D238" s="1" t="s">
        <v>483</v>
      </c>
      <c r="E238" t="s">
        <v>295</v>
      </c>
      <c r="F238" t="s">
        <v>131</v>
      </c>
      <c r="G238" t="s">
        <v>255</v>
      </c>
      <c r="Q238" t="s">
        <v>693</v>
      </c>
    </row>
    <row r="239" spans="1:17" ht="14.5" hidden="1" customHeight="1">
      <c r="A239">
        <v>208</v>
      </c>
      <c r="B239" t="str">
        <f t="shared" si="6"/>
        <v>208 - Bagrecito</v>
      </c>
      <c r="C239" t="str">
        <f t="shared" si="7"/>
        <v>Bagrecito</v>
      </c>
      <c r="D239" s="1" t="s">
        <v>484</v>
      </c>
      <c r="E239" t="s">
        <v>295</v>
      </c>
      <c r="F239" t="s">
        <v>131</v>
      </c>
      <c r="G239" t="s">
        <v>255</v>
      </c>
      <c r="Q239" t="s">
        <v>693</v>
      </c>
    </row>
    <row r="240" spans="1:17" ht="14.5" hidden="1" customHeight="1">
      <c r="A240">
        <v>209</v>
      </c>
      <c r="B240" t="str">
        <f t="shared" si="6"/>
        <v>209 - Bagrecito</v>
      </c>
      <c r="C240" t="str">
        <f t="shared" si="7"/>
        <v>Bagrecito</v>
      </c>
      <c r="D240" s="1" t="s">
        <v>485</v>
      </c>
      <c r="E240" t="s">
        <v>295</v>
      </c>
      <c r="F240" t="s">
        <v>131</v>
      </c>
      <c r="G240" t="s">
        <v>243</v>
      </c>
      <c r="Q240" t="s">
        <v>693</v>
      </c>
    </row>
    <row r="241" spans="1:17" ht="14.5" hidden="1" customHeight="1">
      <c r="A241">
        <v>210</v>
      </c>
      <c r="B241" t="str">
        <f t="shared" si="6"/>
        <v>210 - Bagrecito</v>
      </c>
      <c r="C241" t="str">
        <f t="shared" si="7"/>
        <v>Bagrecito</v>
      </c>
      <c r="D241" s="1" t="s">
        <v>486</v>
      </c>
      <c r="E241" t="s">
        <v>295</v>
      </c>
      <c r="F241" t="s">
        <v>131</v>
      </c>
      <c r="G241" t="s">
        <v>255</v>
      </c>
      <c r="Q241" t="s">
        <v>693</v>
      </c>
    </row>
    <row r="242" spans="1:17" ht="14.5" hidden="1" customHeight="1">
      <c r="A242">
        <v>211</v>
      </c>
      <c r="B242" t="str">
        <f t="shared" si="6"/>
        <v>211 - Langosta de Ureta</v>
      </c>
      <c r="C242" t="str">
        <f t="shared" si="7"/>
        <v>Langosta de Ureta</v>
      </c>
      <c r="D242" s="1" t="s">
        <v>487</v>
      </c>
      <c r="E242" t="s">
        <v>488</v>
      </c>
      <c r="F242" t="s">
        <v>45</v>
      </c>
      <c r="G242" t="s">
        <v>243</v>
      </c>
      <c r="Q242" t="s">
        <v>693</v>
      </c>
    </row>
    <row r="243" spans="1:17" ht="14.5" hidden="1" customHeight="1">
      <c r="A243">
        <v>212</v>
      </c>
      <c r="B243" t="str">
        <f t="shared" si="6"/>
        <v>212 - Mosca florícola valdiviana gigante</v>
      </c>
      <c r="C243" t="str">
        <f t="shared" si="7"/>
        <v>Mosca florícola valdiviana gigante</v>
      </c>
      <c r="D243" s="1" t="s">
        <v>489</v>
      </c>
      <c r="E243" t="s">
        <v>490</v>
      </c>
      <c r="F243" t="s">
        <v>45</v>
      </c>
      <c r="G243" t="s">
        <v>243</v>
      </c>
      <c r="Q243" t="s">
        <v>693</v>
      </c>
    </row>
    <row r="244" spans="1:17" ht="14.5" hidden="1" customHeight="1">
      <c r="A244">
        <v>213</v>
      </c>
      <c r="B244" t="str">
        <f t="shared" si="6"/>
        <v>213 - Camarón</v>
      </c>
      <c r="C244" t="str">
        <f t="shared" si="7"/>
        <v>Camarón</v>
      </c>
      <c r="D244" s="1" t="s">
        <v>491</v>
      </c>
      <c r="E244" t="s">
        <v>492</v>
      </c>
      <c r="F244" t="s">
        <v>21</v>
      </c>
      <c r="G244" t="s">
        <v>243</v>
      </c>
      <c r="Q244" t="s">
        <v>693</v>
      </c>
    </row>
    <row r="245" spans="1:17" ht="14.5" customHeight="1">
      <c r="A245">
        <v>214</v>
      </c>
      <c r="B245" t="str">
        <f t="shared" si="6"/>
        <v>214 - huemul</v>
      </c>
      <c r="C245" t="str">
        <f t="shared" si="7"/>
        <v>huemul</v>
      </c>
      <c r="D245" s="1" t="s">
        <v>493</v>
      </c>
      <c r="E245" t="s">
        <v>494</v>
      </c>
      <c r="F245" t="s">
        <v>314</v>
      </c>
      <c r="G245" t="s">
        <v>243</v>
      </c>
      <c r="H245" t="s">
        <v>207</v>
      </c>
      <c r="I245" t="s">
        <v>208</v>
      </c>
      <c r="J245" t="s">
        <v>209</v>
      </c>
      <c r="K245">
        <v>1</v>
      </c>
      <c r="L245">
        <v>1</v>
      </c>
      <c r="M245" t="s">
        <v>59</v>
      </c>
      <c r="N245">
        <v>0</v>
      </c>
      <c r="O245" t="s">
        <v>89</v>
      </c>
      <c r="P245">
        <v>0</v>
      </c>
      <c r="Q245" t="s">
        <v>694</v>
      </c>
    </row>
    <row r="246" spans="1:17" ht="14.5" customHeight="1">
      <c r="A246">
        <v>214</v>
      </c>
      <c r="B246" t="str">
        <f t="shared" si="6"/>
        <v>214 - huemul</v>
      </c>
      <c r="C246" t="str">
        <f t="shared" si="7"/>
        <v>huemul</v>
      </c>
      <c r="D246" s="1" t="s">
        <v>493</v>
      </c>
      <c r="E246" t="s">
        <v>494</v>
      </c>
      <c r="F246" t="s">
        <v>314</v>
      </c>
      <c r="G246" t="s">
        <v>243</v>
      </c>
      <c r="H246" t="s">
        <v>212</v>
      </c>
      <c r="I246" t="s">
        <v>173</v>
      </c>
      <c r="J246" t="s">
        <v>213</v>
      </c>
      <c r="K246">
        <v>0</v>
      </c>
      <c r="L246">
        <v>1</v>
      </c>
      <c r="M246" t="s">
        <v>59</v>
      </c>
      <c r="N246">
        <v>0</v>
      </c>
      <c r="O246" t="s">
        <v>89</v>
      </c>
      <c r="P246">
        <v>0</v>
      </c>
      <c r="Q246" t="s">
        <v>694</v>
      </c>
    </row>
    <row r="247" spans="1:17" ht="14.5" customHeight="1">
      <c r="A247">
        <v>214</v>
      </c>
      <c r="B247" t="str">
        <f t="shared" si="6"/>
        <v>214 - huemul</v>
      </c>
      <c r="C247" t="str">
        <f t="shared" si="7"/>
        <v>huemul</v>
      </c>
      <c r="D247" s="1" t="s">
        <v>493</v>
      </c>
      <c r="E247" t="s">
        <v>494</v>
      </c>
      <c r="F247" t="s">
        <v>314</v>
      </c>
      <c r="G247" t="s">
        <v>243</v>
      </c>
      <c r="H247" t="s">
        <v>495</v>
      </c>
      <c r="I247" t="s">
        <v>496</v>
      </c>
      <c r="J247" t="s">
        <v>497</v>
      </c>
      <c r="K247">
        <v>1</v>
      </c>
      <c r="L247">
        <v>1</v>
      </c>
      <c r="M247" t="s">
        <v>59</v>
      </c>
      <c r="N247">
        <v>0</v>
      </c>
      <c r="O247" t="s">
        <v>97</v>
      </c>
      <c r="P247">
        <v>0</v>
      </c>
      <c r="Q247" t="s">
        <v>694</v>
      </c>
    </row>
    <row r="248" spans="1:17" ht="14.5" customHeight="1">
      <c r="A248">
        <v>214</v>
      </c>
      <c r="B248" t="str">
        <f t="shared" si="6"/>
        <v>214 - huemul</v>
      </c>
      <c r="C248" t="str">
        <f t="shared" si="7"/>
        <v>huemul</v>
      </c>
      <c r="D248" s="1" t="s">
        <v>493</v>
      </c>
      <c r="E248" t="s">
        <v>494</v>
      </c>
      <c r="F248" t="s">
        <v>314</v>
      </c>
      <c r="G248" t="s">
        <v>243</v>
      </c>
      <c r="H248" t="s">
        <v>498</v>
      </c>
      <c r="I248" t="s">
        <v>499</v>
      </c>
      <c r="J248" t="s">
        <v>500</v>
      </c>
      <c r="K248">
        <v>1</v>
      </c>
      <c r="L248">
        <v>1</v>
      </c>
      <c r="M248" t="s">
        <v>149</v>
      </c>
      <c r="N248">
        <v>1</v>
      </c>
      <c r="O248" t="s">
        <v>171</v>
      </c>
      <c r="P248">
        <v>1</v>
      </c>
      <c r="Q248" t="s">
        <v>694</v>
      </c>
    </row>
    <row r="249" spans="1:17" ht="14.5" customHeight="1">
      <c r="A249">
        <v>214</v>
      </c>
      <c r="B249" t="str">
        <f t="shared" si="6"/>
        <v>214 - huemul</v>
      </c>
      <c r="C249" t="str">
        <f t="shared" si="7"/>
        <v>huemul</v>
      </c>
      <c r="D249" s="1" t="s">
        <v>493</v>
      </c>
      <c r="E249" t="s">
        <v>494</v>
      </c>
      <c r="F249" t="s">
        <v>314</v>
      </c>
      <c r="G249" t="s">
        <v>243</v>
      </c>
      <c r="H249" t="s">
        <v>501</v>
      </c>
      <c r="I249" t="s">
        <v>502</v>
      </c>
      <c r="J249" t="s">
        <v>503</v>
      </c>
      <c r="K249">
        <v>1</v>
      </c>
      <c r="L249">
        <v>1</v>
      </c>
      <c r="M249" t="s">
        <v>149</v>
      </c>
      <c r="N249">
        <v>1</v>
      </c>
      <c r="O249" t="s">
        <v>504</v>
      </c>
      <c r="P249">
        <v>1</v>
      </c>
      <c r="Q249" t="s">
        <v>694</v>
      </c>
    </row>
    <row r="250" spans="1:17" ht="14.5" customHeight="1">
      <c r="A250">
        <v>214</v>
      </c>
      <c r="B250" t="str">
        <f t="shared" si="6"/>
        <v>214 - huemul</v>
      </c>
      <c r="C250" t="str">
        <f t="shared" si="7"/>
        <v>huemul</v>
      </c>
      <c r="D250" s="1" t="s">
        <v>493</v>
      </c>
      <c r="E250" t="s">
        <v>494</v>
      </c>
      <c r="F250" t="s">
        <v>314</v>
      </c>
      <c r="G250" t="s">
        <v>243</v>
      </c>
      <c r="H250" t="s">
        <v>505</v>
      </c>
      <c r="I250" t="s">
        <v>66</v>
      </c>
      <c r="J250" t="s">
        <v>506</v>
      </c>
      <c r="K250">
        <v>1</v>
      </c>
      <c r="L250">
        <v>1</v>
      </c>
      <c r="M250" t="s">
        <v>149</v>
      </c>
      <c r="N250">
        <v>1</v>
      </c>
      <c r="O250" t="s">
        <v>504</v>
      </c>
      <c r="P250">
        <v>1</v>
      </c>
      <c r="Q250" t="s">
        <v>694</v>
      </c>
    </row>
    <row r="251" spans="1:17" ht="14.5" customHeight="1">
      <c r="A251">
        <v>214</v>
      </c>
      <c r="B251" t="str">
        <f t="shared" si="6"/>
        <v>214 - huemul</v>
      </c>
      <c r="C251" t="str">
        <f t="shared" si="7"/>
        <v>huemul</v>
      </c>
      <c r="D251" s="1" t="s">
        <v>493</v>
      </c>
      <c r="E251" t="s">
        <v>494</v>
      </c>
      <c r="F251" t="s">
        <v>314</v>
      </c>
      <c r="G251" t="s">
        <v>243</v>
      </c>
      <c r="H251" t="s">
        <v>501</v>
      </c>
      <c r="I251" t="s">
        <v>507</v>
      </c>
      <c r="J251" t="s">
        <v>508</v>
      </c>
      <c r="K251">
        <v>1</v>
      </c>
      <c r="L251">
        <v>1</v>
      </c>
      <c r="M251" t="s">
        <v>149</v>
      </c>
      <c r="N251">
        <v>1</v>
      </c>
      <c r="O251" t="s">
        <v>504</v>
      </c>
      <c r="P251">
        <v>1</v>
      </c>
      <c r="Q251" t="s">
        <v>694</v>
      </c>
    </row>
    <row r="252" spans="1:17" ht="14.5" customHeight="1">
      <c r="A252">
        <v>214</v>
      </c>
      <c r="B252" t="str">
        <f t="shared" si="6"/>
        <v>214 - huemul</v>
      </c>
      <c r="C252" t="str">
        <f t="shared" si="7"/>
        <v>huemul</v>
      </c>
      <c r="D252" s="1" t="s">
        <v>493</v>
      </c>
      <c r="E252" t="s">
        <v>494</v>
      </c>
      <c r="F252" t="s">
        <v>314</v>
      </c>
      <c r="G252" t="s">
        <v>243</v>
      </c>
      <c r="H252" t="s">
        <v>509</v>
      </c>
      <c r="I252" t="s">
        <v>510</v>
      </c>
      <c r="J252" t="s">
        <v>511</v>
      </c>
      <c r="K252">
        <v>1</v>
      </c>
      <c r="L252">
        <v>1</v>
      </c>
      <c r="M252" t="s">
        <v>149</v>
      </c>
      <c r="N252">
        <v>1</v>
      </c>
      <c r="O252" t="s">
        <v>504</v>
      </c>
      <c r="P252">
        <v>1</v>
      </c>
      <c r="Q252" t="s">
        <v>694</v>
      </c>
    </row>
    <row r="253" spans="1:17" ht="14.5" customHeight="1">
      <c r="A253">
        <v>215</v>
      </c>
      <c r="B253" t="str">
        <f t="shared" si="6"/>
        <v>215 - ranita de Darwin</v>
      </c>
      <c r="C253" t="str">
        <f t="shared" si="7"/>
        <v>ranita de Darwin</v>
      </c>
      <c r="D253" s="1" t="s">
        <v>512</v>
      </c>
      <c r="E253" t="s">
        <v>513</v>
      </c>
      <c r="F253" t="s">
        <v>26</v>
      </c>
      <c r="G253" t="s">
        <v>243</v>
      </c>
      <c r="H253" t="s">
        <v>203</v>
      </c>
      <c r="I253" t="s">
        <v>66</v>
      </c>
      <c r="J253" t="s">
        <v>204</v>
      </c>
      <c r="K253">
        <v>1</v>
      </c>
      <c r="L253">
        <v>1</v>
      </c>
      <c r="M253" t="s">
        <v>59</v>
      </c>
      <c r="N253">
        <v>1</v>
      </c>
      <c r="O253" t="s">
        <v>97</v>
      </c>
      <c r="P253">
        <v>1</v>
      </c>
      <c r="Q253" t="s">
        <v>694</v>
      </c>
    </row>
    <row r="254" spans="1:17" ht="14.5" customHeight="1">
      <c r="A254">
        <v>215</v>
      </c>
      <c r="B254" t="str">
        <f t="shared" si="6"/>
        <v>215 - ranita de Darwin</v>
      </c>
      <c r="C254" t="str">
        <f t="shared" si="7"/>
        <v>ranita de Darwin</v>
      </c>
      <c r="D254" s="1" t="s">
        <v>512</v>
      </c>
      <c r="E254" t="s">
        <v>513</v>
      </c>
      <c r="F254" t="s">
        <v>26</v>
      </c>
      <c r="G254" t="s">
        <v>243</v>
      </c>
      <c r="H254" t="s">
        <v>197</v>
      </c>
      <c r="I254" t="s">
        <v>198</v>
      </c>
      <c r="J254" t="s">
        <v>199</v>
      </c>
      <c r="K254">
        <v>0</v>
      </c>
      <c r="L254">
        <v>1</v>
      </c>
      <c r="M254" t="s">
        <v>59</v>
      </c>
      <c r="N254">
        <v>1</v>
      </c>
      <c r="O254" t="s">
        <v>196</v>
      </c>
      <c r="P254">
        <v>1</v>
      </c>
      <c r="Q254" t="s">
        <v>694</v>
      </c>
    </row>
    <row r="255" spans="1:17" ht="14.5" customHeight="1">
      <c r="A255">
        <v>215</v>
      </c>
      <c r="B255" t="str">
        <f t="shared" si="6"/>
        <v>215 - ranita de Darwin</v>
      </c>
      <c r="C255" t="str">
        <f t="shared" si="7"/>
        <v>ranita de Darwin</v>
      </c>
      <c r="D255" s="1" t="s">
        <v>512</v>
      </c>
      <c r="E255" t="s">
        <v>513</v>
      </c>
      <c r="F255" t="s">
        <v>26</v>
      </c>
      <c r="G255" t="s">
        <v>243</v>
      </c>
      <c r="H255" t="s">
        <v>203</v>
      </c>
      <c r="I255" t="s">
        <v>66</v>
      </c>
      <c r="J255" t="s">
        <v>204</v>
      </c>
      <c r="K255">
        <v>0</v>
      </c>
      <c r="L255">
        <v>1</v>
      </c>
      <c r="M255" t="s">
        <v>59</v>
      </c>
      <c r="N255">
        <v>1</v>
      </c>
      <c r="O255" t="s">
        <v>89</v>
      </c>
      <c r="P255">
        <v>1</v>
      </c>
      <c r="Q255" t="s">
        <v>694</v>
      </c>
    </row>
    <row r="256" spans="1:17" ht="14.5" customHeight="1">
      <c r="A256">
        <v>215</v>
      </c>
      <c r="B256" t="str">
        <f t="shared" si="6"/>
        <v>215 - ranita de Darwin</v>
      </c>
      <c r="C256" t="str">
        <f t="shared" si="7"/>
        <v>ranita de Darwin</v>
      </c>
      <c r="D256" s="1" t="s">
        <v>512</v>
      </c>
      <c r="E256" t="s">
        <v>513</v>
      </c>
      <c r="F256" t="s">
        <v>26</v>
      </c>
      <c r="G256" t="s">
        <v>243</v>
      </c>
      <c r="H256" t="s">
        <v>514</v>
      </c>
      <c r="I256" t="s">
        <v>515</v>
      </c>
      <c r="J256" t="s">
        <v>516</v>
      </c>
      <c r="K256">
        <v>1</v>
      </c>
      <c r="L256">
        <v>1</v>
      </c>
      <c r="M256" t="s">
        <v>59</v>
      </c>
      <c r="N256">
        <v>1</v>
      </c>
      <c r="O256" t="s">
        <v>97</v>
      </c>
      <c r="P256">
        <v>0</v>
      </c>
      <c r="Q256" t="s">
        <v>694</v>
      </c>
    </row>
    <row r="257" spans="1:17" ht="14.5" customHeight="1">
      <c r="A257">
        <v>215</v>
      </c>
      <c r="B257" t="str">
        <f t="shared" si="6"/>
        <v>215 - ranita de Darwin</v>
      </c>
      <c r="C257" t="str">
        <f t="shared" si="7"/>
        <v>ranita de Darwin</v>
      </c>
      <c r="D257" s="1" t="s">
        <v>512</v>
      </c>
      <c r="E257" t="s">
        <v>513</v>
      </c>
      <c r="F257" t="s">
        <v>26</v>
      </c>
      <c r="G257" t="s">
        <v>243</v>
      </c>
      <c r="H257" t="s">
        <v>193</v>
      </c>
      <c r="I257" t="s">
        <v>194</v>
      </c>
      <c r="J257" t="s">
        <v>195</v>
      </c>
      <c r="K257">
        <v>0</v>
      </c>
      <c r="L257">
        <v>1</v>
      </c>
      <c r="M257" t="s">
        <v>59</v>
      </c>
      <c r="N257">
        <v>1</v>
      </c>
      <c r="O257" t="s">
        <v>196</v>
      </c>
      <c r="P257">
        <v>0</v>
      </c>
      <c r="Q257" t="s">
        <v>694</v>
      </c>
    </row>
    <row r="258" spans="1:17" ht="14.5" customHeight="1">
      <c r="A258">
        <v>215</v>
      </c>
      <c r="B258" t="str">
        <f t="shared" ref="B258:B321" si="8">A258 &amp; " - " &amp; C258</f>
        <v>215 - ranita de Darwin</v>
      </c>
      <c r="C258" t="str">
        <f t="shared" ref="C258:C321" si="9">IF(E258="", D258, LEFT(E258, SEARCH(",", E258 &amp; ",") - 1))</f>
        <v>ranita de Darwin</v>
      </c>
      <c r="D258" s="1" t="s">
        <v>512</v>
      </c>
      <c r="E258" t="s">
        <v>513</v>
      </c>
      <c r="F258" t="s">
        <v>26</v>
      </c>
      <c r="G258" t="s">
        <v>243</v>
      </c>
      <c r="H258" t="s">
        <v>517</v>
      </c>
      <c r="I258" t="s">
        <v>518</v>
      </c>
      <c r="J258" t="s">
        <v>519</v>
      </c>
      <c r="K258">
        <v>1</v>
      </c>
      <c r="L258">
        <v>1</v>
      </c>
      <c r="M258" t="s">
        <v>59</v>
      </c>
      <c r="N258">
        <v>1</v>
      </c>
      <c r="O258" t="s">
        <v>196</v>
      </c>
      <c r="P258">
        <v>0</v>
      </c>
      <c r="Q258" t="s">
        <v>694</v>
      </c>
    </row>
    <row r="259" spans="1:17" ht="14.5" customHeight="1">
      <c r="A259">
        <v>215</v>
      </c>
      <c r="B259" t="str">
        <f t="shared" si="8"/>
        <v>215 - ranita de Darwin</v>
      </c>
      <c r="C259" t="str">
        <f t="shared" si="9"/>
        <v>ranita de Darwin</v>
      </c>
      <c r="D259" s="1" t="s">
        <v>512</v>
      </c>
      <c r="E259" t="s">
        <v>513</v>
      </c>
      <c r="F259" t="s">
        <v>26</v>
      </c>
      <c r="G259" t="s">
        <v>243</v>
      </c>
      <c r="H259" t="s">
        <v>520</v>
      </c>
      <c r="I259" t="s">
        <v>521</v>
      </c>
      <c r="J259" t="s">
        <v>522</v>
      </c>
      <c r="K259">
        <v>1</v>
      </c>
      <c r="L259">
        <v>1</v>
      </c>
      <c r="M259" t="s">
        <v>59</v>
      </c>
      <c r="N259">
        <v>1</v>
      </c>
      <c r="O259" t="s">
        <v>523</v>
      </c>
      <c r="P259">
        <v>0</v>
      </c>
      <c r="Q259" t="s">
        <v>694</v>
      </c>
    </row>
    <row r="260" spans="1:17" ht="14.5" customHeight="1">
      <c r="A260">
        <v>215</v>
      </c>
      <c r="B260" t="str">
        <f t="shared" si="8"/>
        <v>215 - ranita de Darwin</v>
      </c>
      <c r="C260" t="str">
        <f t="shared" si="9"/>
        <v>ranita de Darwin</v>
      </c>
      <c r="D260" s="1" t="s">
        <v>512</v>
      </c>
      <c r="E260" t="s">
        <v>513</v>
      </c>
      <c r="F260" t="s">
        <v>26</v>
      </c>
      <c r="G260" t="s">
        <v>243</v>
      </c>
      <c r="H260" t="s">
        <v>524</v>
      </c>
      <c r="I260" t="s">
        <v>95</v>
      </c>
      <c r="J260" t="s">
        <v>525</v>
      </c>
      <c r="K260">
        <v>1</v>
      </c>
      <c r="L260">
        <v>1</v>
      </c>
      <c r="M260" t="s">
        <v>59</v>
      </c>
      <c r="N260">
        <v>1</v>
      </c>
      <c r="O260" t="s">
        <v>523</v>
      </c>
      <c r="P260">
        <v>0</v>
      </c>
      <c r="Q260" t="s">
        <v>694</v>
      </c>
    </row>
    <row r="261" spans="1:17" ht="14.5" customHeight="1">
      <c r="A261">
        <v>215</v>
      </c>
      <c r="B261" t="str">
        <f t="shared" si="8"/>
        <v>215 - ranita de Darwin</v>
      </c>
      <c r="C261" t="str">
        <f t="shared" si="9"/>
        <v>ranita de Darwin</v>
      </c>
      <c r="D261" s="1" t="s">
        <v>512</v>
      </c>
      <c r="E261" t="s">
        <v>513</v>
      </c>
      <c r="F261" t="s">
        <v>26</v>
      </c>
      <c r="G261" t="s">
        <v>243</v>
      </c>
      <c r="H261" t="s">
        <v>526</v>
      </c>
      <c r="I261" t="s">
        <v>158</v>
      </c>
      <c r="J261" t="s">
        <v>527</v>
      </c>
      <c r="K261">
        <v>1</v>
      </c>
      <c r="L261">
        <v>1</v>
      </c>
      <c r="M261" t="s">
        <v>59</v>
      </c>
      <c r="N261">
        <v>1</v>
      </c>
      <c r="O261" t="s">
        <v>528</v>
      </c>
      <c r="P261">
        <v>0</v>
      </c>
      <c r="Q261" t="s">
        <v>694</v>
      </c>
    </row>
    <row r="262" spans="1:17" ht="14.5" customHeight="1">
      <c r="A262">
        <v>215</v>
      </c>
      <c r="B262" t="str">
        <f t="shared" si="8"/>
        <v>215 - ranita de Darwin</v>
      </c>
      <c r="C262" t="str">
        <f t="shared" si="9"/>
        <v>ranita de Darwin</v>
      </c>
      <c r="D262" s="1" t="s">
        <v>512</v>
      </c>
      <c r="E262" t="s">
        <v>513</v>
      </c>
      <c r="F262" t="s">
        <v>26</v>
      </c>
      <c r="G262" t="s">
        <v>243</v>
      </c>
      <c r="H262" t="s">
        <v>529</v>
      </c>
      <c r="I262" t="s">
        <v>530</v>
      </c>
      <c r="J262" t="s">
        <v>531</v>
      </c>
      <c r="K262">
        <v>1</v>
      </c>
      <c r="L262">
        <v>1</v>
      </c>
      <c r="M262" t="s">
        <v>59</v>
      </c>
      <c r="N262">
        <v>1</v>
      </c>
      <c r="O262" t="s">
        <v>523</v>
      </c>
      <c r="P262">
        <v>0</v>
      </c>
      <c r="Q262" t="s">
        <v>694</v>
      </c>
    </row>
    <row r="263" spans="1:17" ht="14.5" customHeight="1">
      <c r="A263">
        <v>215</v>
      </c>
      <c r="B263" t="str">
        <f t="shared" si="8"/>
        <v>215 - ranita de Darwin</v>
      </c>
      <c r="C263" t="str">
        <f t="shared" si="9"/>
        <v>ranita de Darwin</v>
      </c>
      <c r="D263" s="1" t="s">
        <v>512</v>
      </c>
      <c r="E263" t="s">
        <v>513</v>
      </c>
      <c r="F263" t="s">
        <v>26</v>
      </c>
      <c r="G263" t="s">
        <v>243</v>
      </c>
      <c r="H263" t="s">
        <v>168</v>
      </c>
      <c r="I263" t="s">
        <v>169</v>
      </c>
      <c r="J263" t="s">
        <v>170</v>
      </c>
      <c r="K263">
        <v>1</v>
      </c>
      <c r="L263">
        <v>1</v>
      </c>
      <c r="M263" t="s">
        <v>149</v>
      </c>
      <c r="N263">
        <v>1</v>
      </c>
      <c r="O263" t="s">
        <v>171</v>
      </c>
      <c r="P263">
        <v>0</v>
      </c>
      <c r="Q263" t="s">
        <v>694</v>
      </c>
    </row>
    <row r="264" spans="1:17" ht="14.5" customHeight="1">
      <c r="A264">
        <v>215</v>
      </c>
      <c r="B264" t="str">
        <f t="shared" si="8"/>
        <v>215 - ranita de Darwin</v>
      </c>
      <c r="C264" t="str">
        <f t="shared" si="9"/>
        <v>ranita de Darwin</v>
      </c>
      <c r="D264" s="1" t="s">
        <v>512</v>
      </c>
      <c r="E264" t="s">
        <v>513</v>
      </c>
      <c r="F264" t="s">
        <v>26</v>
      </c>
      <c r="G264" t="s">
        <v>243</v>
      </c>
      <c r="H264" t="s">
        <v>532</v>
      </c>
      <c r="I264" t="s">
        <v>518</v>
      </c>
      <c r="J264" t="s">
        <v>533</v>
      </c>
      <c r="K264">
        <v>1</v>
      </c>
      <c r="L264">
        <v>1</v>
      </c>
      <c r="M264" t="s">
        <v>149</v>
      </c>
      <c r="N264">
        <v>1</v>
      </c>
      <c r="O264" t="s">
        <v>171</v>
      </c>
      <c r="P264">
        <v>0</v>
      </c>
      <c r="Q264" t="s">
        <v>694</v>
      </c>
    </row>
    <row r="265" spans="1:17" ht="14.5" customHeight="1">
      <c r="A265">
        <v>215</v>
      </c>
      <c r="B265" t="str">
        <f t="shared" si="8"/>
        <v>215 - ranita de Darwin</v>
      </c>
      <c r="C265" t="str">
        <f t="shared" si="9"/>
        <v>ranita de Darwin</v>
      </c>
      <c r="D265" s="1" t="s">
        <v>512</v>
      </c>
      <c r="E265" t="s">
        <v>513</v>
      </c>
      <c r="F265" t="s">
        <v>26</v>
      </c>
      <c r="G265" t="s">
        <v>243</v>
      </c>
      <c r="H265" t="s">
        <v>172</v>
      </c>
      <c r="I265" t="s">
        <v>173</v>
      </c>
      <c r="J265" t="s">
        <v>174</v>
      </c>
      <c r="K265">
        <v>1</v>
      </c>
      <c r="L265">
        <v>1</v>
      </c>
      <c r="M265" t="s">
        <v>149</v>
      </c>
      <c r="N265">
        <v>1</v>
      </c>
      <c r="O265" t="s">
        <v>504</v>
      </c>
      <c r="P265">
        <v>1</v>
      </c>
      <c r="Q265" t="s">
        <v>694</v>
      </c>
    </row>
    <row r="266" spans="1:17" ht="14.5" customHeight="1">
      <c r="A266">
        <v>215</v>
      </c>
      <c r="B266" t="str">
        <f t="shared" si="8"/>
        <v>215 - ranita de Darwin</v>
      </c>
      <c r="C266" t="str">
        <f t="shared" si="9"/>
        <v>ranita de Darwin</v>
      </c>
      <c r="D266" s="1" t="s">
        <v>512</v>
      </c>
      <c r="E266" t="s">
        <v>513</v>
      </c>
      <c r="F266" t="s">
        <v>26</v>
      </c>
      <c r="G266" t="s">
        <v>243</v>
      </c>
      <c r="H266" t="s">
        <v>176</v>
      </c>
      <c r="I266" t="s">
        <v>177</v>
      </c>
      <c r="J266" t="s">
        <v>178</v>
      </c>
      <c r="K266">
        <v>0</v>
      </c>
      <c r="L266">
        <v>1</v>
      </c>
      <c r="M266" t="s">
        <v>149</v>
      </c>
      <c r="N266">
        <v>1</v>
      </c>
      <c r="O266" t="s">
        <v>175</v>
      </c>
      <c r="P266">
        <v>1</v>
      </c>
      <c r="Q266" t="s">
        <v>694</v>
      </c>
    </row>
    <row r="267" spans="1:17" ht="14.5" customHeight="1">
      <c r="A267">
        <v>215</v>
      </c>
      <c r="B267" t="str">
        <f t="shared" si="8"/>
        <v>215 - ranita de Darwin</v>
      </c>
      <c r="C267" t="str">
        <f t="shared" si="9"/>
        <v>ranita de Darwin</v>
      </c>
      <c r="D267" s="1" t="s">
        <v>512</v>
      </c>
      <c r="E267" t="s">
        <v>513</v>
      </c>
      <c r="F267" t="s">
        <v>26</v>
      </c>
      <c r="G267" t="s">
        <v>243</v>
      </c>
      <c r="H267" t="s">
        <v>534</v>
      </c>
      <c r="I267" t="s">
        <v>62</v>
      </c>
      <c r="J267" t="s">
        <v>535</v>
      </c>
      <c r="K267">
        <v>1</v>
      </c>
      <c r="L267">
        <v>1</v>
      </c>
      <c r="M267" t="s">
        <v>149</v>
      </c>
      <c r="N267">
        <v>1</v>
      </c>
      <c r="O267" t="s">
        <v>504</v>
      </c>
      <c r="P267">
        <v>0</v>
      </c>
      <c r="Q267" t="s">
        <v>694</v>
      </c>
    </row>
    <row r="268" spans="1:17" ht="14.5" customHeight="1">
      <c r="A268">
        <v>215</v>
      </c>
      <c r="B268" t="str">
        <f t="shared" si="8"/>
        <v>215 - ranita de Darwin</v>
      </c>
      <c r="C268" t="str">
        <f t="shared" si="9"/>
        <v>ranita de Darwin</v>
      </c>
      <c r="D268" s="1" t="s">
        <v>512</v>
      </c>
      <c r="E268" t="s">
        <v>513</v>
      </c>
      <c r="F268" t="s">
        <v>26</v>
      </c>
      <c r="G268" t="s">
        <v>243</v>
      </c>
      <c r="H268" t="s">
        <v>179</v>
      </c>
      <c r="I268" t="s">
        <v>107</v>
      </c>
      <c r="J268" t="s">
        <v>180</v>
      </c>
      <c r="K268">
        <v>0</v>
      </c>
      <c r="L268">
        <v>1</v>
      </c>
      <c r="M268" t="s">
        <v>149</v>
      </c>
      <c r="N268">
        <v>1</v>
      </c>
      <c r="O268" t="s">
        <v>175</v>
      </c>
      <c r="P268">
        <v>1</v>
      </c>
      <c r="Q268" t="s">
        <v>694</v>
      </c>
    </row>
    <row r="269" spans="1:17" ht="14.5" customHeight="1">
      <c r="A269">
        <v>215</v>
      </c>
      <c r="B269" t="str">
        <f t="shared" si="8"/>
        <v>215 - ranita de Darwin</v>
      </c>
      <c r="C269" t="str">
        <f t="shared" si="9"/>
        <v>ranita de Darwin</v>
      </c>
      <c r="D269" s="1" t="s">
        <v>512</v>
      </c>
      <c r="E269" t="s">
        <v>513</v>
      </c>
      <c r="F269" t="s">
        <v>26</v>
      </c>
      <c r="G269" t="s">
        <v>243</v>
      </c>
      <c r="H269" t="s">
        <v>536</v>
      </c>
      <c r="I269" t="s">
        <v>158</v>
      </c>
      <c r="J269" t="s">
        <v>537</v>
      </c>
      <c r="K269">
        <v>0</v>
      </c>
      <c r="L269">
        <v>1</v>
      </c>
      <c r="M269" t="s">
        <v>149</v>
      </c>
      <c r="N269">
        <v>1</v>
      </c>
      <c r="O269" t="s">
        <v>171</v>
      </c>
      <c r="P269">
        <v>1</v>
      </c>
      <c r="Q269" t="s">
        <v>694</v>
      </c>
    </row>
    <row r="270" spans="1:17" ht="14.5" customHeight="1">
      <c r="A270">
        <v>215</v>
      </c>
      <c r="B270" t="str">
        <f t="shared" si="8"/>
        <v>215 - ranita de Darwin</v>
      </c>
      <c r="C270" t="str">
        <f t="shared" si="9"/>
        <v>ranita de Darwin</v>
      </c>
      <c r="D270" s="1" t="s">
        <v>512</v>
      </c>
      <c r="E270" t="s">
        <v>513</v>
      </c>
      <c r="F270" t="s">
        <v>26</v>
      </c>
      <c r="G270" t="s">
        <v>243</v>
      </c>
      <c r="H270" t="s">
        <v>181</v>
      </c>
      <c r="I270" t="s">
        <v>182</v>
      </c>
      <c r="J270" t="s">
        <v>183</v>
      </c>
      <c r="K270">
        <v>0</v>
      </c>
      <c r="L270">
        <v>1</v>
      </c>
      <c r="M270" t="s">
        <v>149</v>
      </c>
      <c r="N270">
        <v>1</v>
      </c>
      <c r="O270" t="s">
        <v>175</v>
      </c>
      <c r="P270">
        <v>1</v>
      </c>
      <c r="Q270" t="s">
        <v>694</v>
      </c>
    </row>
    <row r="271" spans="1:17" ht="14.5" customHeight="1">
      <c r="A271">
        <v>215</v>
      </c>
      <c r="B271" t="str">
        <f t="shared" si="8"/>
        <v>215 - ranita de Darwin</v>
      </c>
      <c r="C271" t="str">
        <f t="shared" si="9"/>
        <v>ranita de Darwin</v>
      </c>
      <c r="D271" s="1" t="s">
        <v>512</v>
      </c>
      <c r="E271" t="s">
        <v>513</v>
      </c>
      <c r="F271" t="s">
        <v>26</v>
      </c>
      <c r="G271" t="s">
        <v>243</v>
      </c>
      <c r="H271" t="s">
        <v>184</v>
      </c>
      <c r="I271" t="s">
        <v>101</v>
      </c>
      <c r="J271" t="s">
        <v>185</v>
      </c>
      <c r="K271">
        <v>0</v>
      </c>
      <c r="L271">
        <v>1</v>
      </c>
      <c r="M271" t="s">
        <v>149</v>
      </c>
      <c r="N271">
        <v>1</v>
      </c>
      <c r="O271" t="s">
        <v>504</v>
      </c>
      <c r="P271">
        <v>1</v>
      </c>
      <c r="Q271" t="s">
        <v>694</v>
      </c>
    </row>
    <row r="272" spans="1:17" ht="14.5" customHeight="1">
      <c r="A272">
        <v>215</v>
      </c>
      <c r="B272" t="str">
        <f t="shared" si="8"/>
        <v>215 - ranita de Darwin</v>
      </c>
      <c r="C272" t="str">
        <f t="shared" si="9"/>
        <v>ranita de Darwin</v>
      </c>
      <c r="D272" s="1" t="s">
        <v>512</v>
      </c>
      <c r="E272" t="s">
        <v>513</v>
      </c>
      <c r="F272" t="s">
        <v>26</v>
      </c>
      <c r="G272" t="s">
        <v>243</v>
      </c>
      <c r="H272" t="s">
        <v>186</v>
      </c>
      <c r="I272" t="s">
        <v>187</v>
      </c>
      <c r="J272" t="s">
        <v>188</v>
      </c>
      <c r="K272">
        <v>1</v>
      </c>
      <c r="L272">
        <v>1</v>
      </c>
      <c r="M272" t="s">
        <v>149</v>
      </c>
      <c r="N272">
        <v>1</v>
      </c>
      <c r="O272" t="s">
        <v>504</v>
      </c>
      <c r="P272">
        <v>1</v>
      </c>
      <c r="Q272" t="s">
        <v>694</v>
      </c>
    </row>
    <row r="273" spans="1:17" ht="14.5" customHeight="1">
      <c r="A273">
        <v>215</v>
      </c>
      <c r="B273" t="str">
        <f t="shared" si="8"/>
        <v>215 - ranita de Darwin</v>
      </c>
      <c r="C273" t="str">
        <f t="shared" si="9"/>
        <v>ranita de Darwin</v>
      </c>
      <c r="D273" s="1" t="s">
        <v>512</v>
      </c>
      <c r="E273" t="s">
        <v>513</v>
      </c>
      <c r="F273" t="s">
        <v>26</v>
      </c>
      <c r="G273" t="s">
        <v>243</v>
      </c>
      <c r="H273" t="s">
        <v>189</v>
      </c>
      <c r="I273" t="s">
        <v>62</v>
      </c>
      <c r="J273" t="s">
        <v>190</v>
      </c>
      <c r="K273">
        <v>1</v>
      </c>
      <c r="L273">
        <v>1</v>
      </c>
      <c r="M273" t="s">
        <v>149</v>
      </c>
      <c r="N273">
        <v>1</v>
      </c>
      <c r="O273" t="s">
        <v>175</v>
      </c>
      <c r="P273">
        <v>1</v>
      </c>
      <c r="Q273" t="s">
        <v>694</v>
      </c>
    </row>
    <row r="274" spans="1:17" ht="14.5" customHeight="1">
      <c r="A274">
        <v>215</v>
      </c>
      <c r="B274" t="str">
        <f t="shared" si="8"/>
        <v>215 - ranita de Darwin</v>
      </c>
      <c r="C274" t="str">
        <f t="shared" si="9"/>
        <v>ranita de Darwin</v>
      </c>
      <c r="D274" s="1" t="s">
        <v>512</v>
      </c>
      <c r="E274" t="s">
        <v>513</v>
      </c>
      <c r="F274" t="s">
        <v>26</v>
      </c>
      <c r="G274" t="s">
        <v>243</v>
      </c>
      <c r="H274" t="s">
        <v>191</v>
      </c>
      <c r="I274" t="s">
        <v>107</v>
      </c>
      <c r="J274" t="s">
        <v>192</v>
      </c>
      <c r="K274">
        <v>0</v>
      </c>
      <c r="L274">
        <v>1</v>
      </c>
      <c r="M274" t="s">
        <v>149</v>
      </c>
      <c r="N274">
        <v>1</v>
      </c>
      <c r="O274" t="s">
        <v>175</v>
      </c>
      <c r="P274">
        <v>1</v>
      </c>
      <c r="Q274" t="s">
        <v>694</v>
      </c>
    </row>
    <row r="275" spans="1:17" ht="14.5" customHeight="1">
      <c r="A275">
        <v>215</v>
      </c>
      <c r="B275" t="str">
        <f t="shared" si="8"/>
        <v>215 - ranita de Darwin</v>
      </c>
      <c r="C275" t="str">
        <f t="shared" si="9"/>
        <v>ranita de Darwin</v>
      </c>
      <c r="D275" s="1" t="s">
        <v>512</v>
      </c>
      <c r="E275" t="s">
        <v>513</v>
      </c>
      <c r="F275" t="s">
        <v>26</v>
      </c>
      <c r="G275" t="s">
        <v>243</v>
      </c>
      <c r="H275" t="s">
        <v>538</v>
      </c>
      <c r="I275" t="s">
        <v>62</v>
      </c>
      <c r="J275" t="s">
        <v>539</v>
      </c>
      <c r="K275">
        <v>1</v>
      </c>
      <c r="L275">
        <v>1</v>
      </c>
      <c r="M275" t="s">
        <v>149</v>
      </c>
      <c r="N275">
        <v>1</v>
      </c>
      <c r="O275" t="s">
        <v>504</v>
      </c>
      <c r="P275">
        <v>1</v>
      </c>
      <c r="Q275" t="s">
        <v>694</v>
      </c>
    </row>
    <row r="276" spans="1:17" ht="14.5" customHeight="1">
      <c r="A276">
        <v>215</v>
      </c>
      <c r="B276" t="str">
        <f t="shared" si="8"/>
        <v>215 - ranita de Darwin</v>
      </c>
      <c r="C276" t="str">
        <f t="shared" si="9"/>
        <v>ranita de Darwin</v>
      </c>
      <c r="D276" s="1" t="s">
        <v>512</v>
      </c>
      <c r="E276" t="s">
        <v>513</v>
      </c>
      <c r="F276" t="s">
        <v>26</v>
      </c>
      <c r="G276" t="s">
        <v>243</v>
      </c>
      <c r="H276" t="s">
        <v>540</v>
      </c>
      <c r="I276" t="s">
        <v>62</v>
      </c>
      <c r="J276" t="s">
        <v>541</v>
      </c>
      <c r="K276">
        <v>1</v>
      </c>
      <c r="L276">
        <v>1</v>
      </c>
      <c r="M276" t="s">
        <v>149</v>
      </c>
      <c r="N276">
        <v>1</v>
      </c>
      <c r="O276" t="s">
        <v>504</v>
      </c>
      <c r="P276">
        <v>1</v>
      </c>
      <c r="Q276" t="s">
        <v>694</v>
      </c>
    </row>
    <row r="277" spans="1:17" ht="14.5" customHeight="1">
      <c r="A277">
        <v>216</v>
      </c>
      <c r="B277" t="str">
        <f t="shared" si="8"/>
        <v>216 - pingüino de Humboldt</v>
      </c>
      <c r="C277" t="str">
        <f t="shared" si="9"/>
        <v>pingüino de Humboldt</v>
      </c>
      <c r="D277" s="1" t="s">
        <v>542</v>
      </c>
      <c r="E277" t="s">
        <v>543</v>
      </c>
      <c r="F277" t="s">
        <v>38</v>
      </c>
      <c r="G277" t="s">
        <v>243</v>
      </c>
      <c r="H277" t="s">
        <v>544</v>
      </c>
      <c r="I277" t="s">
        <v>545</v>
      </c>
      <c r="J277" t="s">
        <v>546</v>
      </c>
      <c r="K277">
        <v>0</v>
      </c>
      <c r="L277">
        <v>1</v>
      </c>
      <c r="M277" t="s">
        <v>59</v>
      </c>
      <c r="N277">
        <v>1</v>
      </c>
      <c r="O277" t="s">
        <v>196</v>
      </c>
      <c r="P277">
        <v>1</v>
      </c>
      <c r="Q277" t="s">
        <v>694</v>
      </c>
    </row>
    <row r="278" spans="1:17" ht="14.5" customHeight="1">
      <c r="A278">
        <v>216</v>
      </c>
      <c r="B278" t="str">
        <f t="shared" si="8"/>
        <v>216 - pingüino de Humboldt</v>
      </c>
      <c r="C278" t="str">
        <f t="shared" si="9"/>
        <v>pingüino de Humboldt</v>
      </c>
      <c r="D278" s="1" t="s">
        <v>542</v>
      </c>
      <c r="E278" t="s">
        <v>543</v>
      </c>
      <c r="F278" t="s">
        <v>38</v>
      </c>
      <c r="G278" t="s">
        <v>243</v>
      </c>
      <c r="H278" t="s">
        <v>157</v>
      </c>
      <c r="I278" t="s">
        <v>158</v>
      </c>
      <c r="J278" t="s">
        <v>159</v>
      </c>
      <c r="K278">
        <v>0</v>
      </c>
      <c r="L278">
        <v>1</v>
      </c>
      <c r="M278" t="s">
        <v>59</v>
      </c>
      <c r="N278">
        <v>1</v>
      </c>
      <c r="O278" t="s">
        <v>64</v>
      </c>
      <c r="P278">
        <v>1</v>
      </c>
      <c r="Q278" t="s">
        <v>694</v>
      </c>
    </row>
    <row r="279" spans="1:17" ht="14.5" customHeight="1">
      <c r="A279">
        <v>216</v>
      </c>
      <c r="B279" t="str">
        <f t="shared" si="8"/>
        <v>216 - pingüino de Humboldt</v>
      </c>
      <c r="C279" t="str">
        <f t="shared" si="9"/>
        <v>pingüino de Humboldt</v>
      </c>
      <c r="D279" s="1" t="s">
        <v>542</v>
      </c>
      <c r="E279" t="s">
        <v>543</v>
      </c>
      <c r="F279" t="s">
        <v>38</v>
      </c>
      <c r="G279" t="s">
        <v>243</v>
      </c>
      <c r="H279" t="s">
        <v>68</v>
      </c>
      <c r="I279" t="s">
        <v>69</v>
      </c>
      <c r="J279" t="s">
        <v>70</v>
      </c>
      <c r="K279">
        <v>0</v>
      </c>
      <c r="L279">
        <v>1</v>
      </c>
      <c r="M279" t="s">
        <v>547</v>
      </c>
      <c r="N279">
        <v>1</v>
      </c>
      <c r="O279" t="s">
        <v>64</v>
      </c>
      <c r="P279">
        <v>1</v>
      </c>
      <c r="Q279" t="s">
        <v>694</v>
      </c>
    </row>
    <row r="280" spans="1:17" ht="14.5" customHeight="1">
      <c r="A280">
        <v>216</v>
      </c>
      <c r="B280" t="str">
        <f t="shared" si="8"/>
        <v>216 - pingüino de Humboldt</v>
      </c>
      <c r="C280" t="str">
        <f t="shared" si="9"/>
        <v>pingüino de Humboldt</v>
      </c>
      <c r="D280" s="1" t="s">
        <v>542</v>
      </c>
      <c r="E280" t="s">
        <v>543</v>
      </c>
      <c r="F280" t="s">
        <v>38</v>
      </c>
      <c r="G280" t="s">
        <v>243</v>
      </c>
      <c r="H280" t="s">
        <v>65</v>
      </c>
      <c r="I280" t="s">
        <v>66</v>
      </c>
      <c r="J280" t="s">
        <v>67</v>
      </c>
      <c r="K280">
        <v>0</v>
      </c>
      <c r="L280">
        <v>1</v>
      </c>
      <c r="M280" t="s">
        <v>59</v>
      </c>
      <c r="N280">
        <v>1</v>
      </c>
      <c r="O280" t="s">
        <v>64</v>
      </c>
      <c r="P280">
        <v>1</v>
      </c>
      <c r="Q280" t="s">
        <v>694</v>
      </c>
    </row>
    <row r="281" spans="1:17" ht="14.5" customHeight="1">
      <c r="A281">
        <v>216</v>
      </c>
      <c r="B281" t="str">
        <f t="shared" si="8"/>
        <v>216 - pingüino de Humboldt</v>
      </c>
      <c r="C281" t="str">
        <f t="shared" si="9"/>
        <v>pingüino de Humboldt</v>
      </c>
      <c r="D281" s="1" t="s">
        <v>542</v>
      </c>
      <c r="E281" t="s">
        <v>543</v>
      </c>
      <c r="F281" t="s">
        <v>38</v>
      </c>
      <c r="G281" t="s">
        <v>243</v>
      </c>
      <c r="H281" t="s">
        <v>548</v>
      </c>
      <c r="I281" t="s">
        <v>549</v>
      </c>
      <c r="J281" t="s">
        <v>550</v>
      </c>
      <c r="K281">
        <v>1</v>
      </c>
      <c r="L281">
        <v>1</v>
      </c>
      <c r="M281" t="s">
        <v>59</v>
      </c>
      <c r="N281">
        <v>1</v>
      </c>
      <c r="O281" t="s">
        <v>97</v>
      </c>
      <c r="P281">
        <v>1</v>
      </c>
      <c r="Q281" t="s">
        <v>694</v>
      </c>
    </row>
    <row r="282" spans="1:17" ht="14.5" customHeight="1">
      <c r="A282">
        <v>216</v>
      </c>
      <c r="B282" t="str">
        <f t="shared" si="8"/>
        <v>216 - pingüino de Humboldt</v>
      </c>
      <c r="C282" t="str">
        <f t="shared" si="9"/>
        <v>pingüino de Humboldt</v>
      </c>
      <c r="D282" s="1" t="s">
        <v>542</v>
      </c>
      <c r="E282" t="s">
        <v>543</v>
      </c>
      <c r="F282" t="s">
        <v>38</v>
      </c>
      <c r="G282" t="s">
        <v>243</v>
      </c>
      <c r="H282" t="s">
        <v>551</v>
      </c>
      <c r="I282" t="s">
        <v>552</v>
      </c>
      <c r="J282" t="s">
        <v>553</v>
      </c>
      <c r="K282">
        <v>1</v>
      </c>
      <c r="L282">
        <v>1</v>
      </c>
      <c r="M282" t="s">
        <v>554</v>
      </c>
      <c r="N282">
        <v>1</v>
      </c>
      <c r="O282" t="s">
        <v>89</v>
      </c>
      <c r="P282">
        <v>1</v>
      </c>
      <c r="Q282" t="s">
        <v>694</v>
      </c>
    </row>
    <row r="283" spans="1:17" ht="14.5" customHeight="1">
      <c r="A283">
        <v>216</v>
      </c>
      <c r="B283" t="str">
        <f t="shared" si="8"/>
        <v>216 - pingüino de Humboldt</v>
      </c>
      <c r="C283" t="str">
        <f t="shared" si="9"/>
        <v>pingüino de Humboldt</v>
      </c>
      <c r="D283" s="1" t="s">
        <v>542</v>
      </c>
      <c r="E283" t="s">
        <v>543</v>
      </c>
      <c r="F283" t="s">
        <v>38</v>
      </c>
      <c r="G283" t="s">
        <v>243</v>
      </c>
      <c r="H283" t="s">
        <v>555</v>
      </c>
      <c r="I283" t="s">
        <v>556</v>
      </c>
      <c r="J283" t="s">
        <v>557</v>
      </c>
      <c r="K283">
        <v>0</v>
      </c>
      <c r="L283">
        <v>1</v>
      </c>
      <c r="M283" t="s">
        <v>59</v>
      </c>
      <c r="N283">
        <v>1</v>
      </c>
      <c r="O283" t="s">
        <v>64</v>
      </c>
      <c r="P283">
        <v>1</v>
      </c>
      <c r="Q283" t="s">
        <v>694</v>
      </c>
    </row>
    <row r="284" spans="1:17" ht="14.5" customHeight="1">
      <c r="A284">
        <v>216</v>
      </c>
      <c r="B284" t="str">
        <f t="shared" si="8"/>
        <v>216 - pingüino de Humboldt</v>
      </c>
      <c r="C284" t="str">
        <f t="shared" si="9"/>
        <v>pingüino de Humboldt</v>
      </c>
      <c r="D284" s="1" t="s">
        <v>542</v>
      </c>
      <c r="E284" t="s">
        <v>543</v>
      </c>
      <c r="F284" t="s">
        <v>38</v>
      </c>
      <c r="G284" t="s">
        <v>243</v>
      </c>
      <c r="H284" t="s">
        <v>558</v>
      </c>
      <c r="I284" t="s">
        <v>496</v>
      </c>
      <c r="J284" t="s">
        <v>559</v>
      </c>
      <c r="K284">
        <v>1</v>
      </c>
      <c r="L284">
        <v>1</v>
      </c>
      <c r="M284" t="s">
        <v>59</v>
      </c>
      <c r="N284">
        <v>1</v>
      </c>
      <c r="O284" t="s">
        <v>97</v>
      </c>
      <c r="P284">
        <v>1</v>
      </c>
      <c r="Q284" t="s">
        <v>694</v>
      </c>
    </row>
    <row r="285" spans="1:17" ht="14.5" customHeight="1">
      <c r="A285">
        <v>216</v>
      </c>
      <c r="B285" t="str">
        <f t="shared" si="8"/>
        <v>216 - pingüino de Humboldt</v>
      </c>
      <c r="C285" t="str">
        <f t="shared" si="9"/>
        <v>pingüino de Humboldt</v>
      </c>
      <c r="D285" s="1" t="s">
        <v>542</v>
      </c>
      <c r="E285" t="s">
        <v>543</v>
      </c>
      <c r="F285" t="s">
        <v>38</v>
      </c>
      <c r="G285" t="s">
        <v>243</v>
      </c>
      <c r="H285" t="s">
        <v>560</v>
      </c>
      <c r="I285" t="s">
        <v>104</v>
      </c>
      <c r="J285" t="s">
        <v>561</v>
      </c>
      <c r="K285">
        <v>1</v>
      </c>
      <c r="L285">
        <v>1</v>
      </c>
      <c r="M285" t="s">
        <v>59</v>
      </c>
      <c r="N285">
        <v>1</v>
      </c>
      <c r="O285" t="s">
        <v>196</v>
      </c>
      <c r="P285">
        <v>1</v>
      </c>
      <c r="Q285" t="s">
        <v>694</v>
      </c>
    </row>
    <row r="286" spans="1:17" ht="14.5" customHeight="1">
      <c r="A286">
        <v>216</v>
      </c>
      <c r="B286" t="str">
        <f t="shared" si="8"/>
        <v>216 - pingüino de Humboldt</v>
      </c>
      <c r="C286" t="str">
        <f t="shared" si="9"/>
        <v>pingüino de Humboldt</v>
      </c>
      <c r="D286" s="1" t="s">
        <v>542</v>
      </c>
      <c r="E286" t="s">
        <v>543</v>
      </c>
      <c r="F286" t="s">
        <v>38</v>
      </c>
      <c r="G286" t="s">
        <v>243</v>
      </c>
      <c r="H286" t="s">
        <v>562</v>
      </c>
      <c r="I286" t="s">
        <v>515</v>
      </c>
      <c r="J286" t="s">
        <v>563</v>
      </c>
      <c r="K286">
        <v>1</v>
      </c>
      <c r="L286">
        <v>1</v>
      </c>
      <c r="M286" t="s">
        <v>59</v>
      </c>
      <c r="N286">
        <v>1</v>
      </c>
      <c r="O286" t="s">
        <v>97</v>
      </c>
      <c r="P286">
        <v>1</v>
      </c>
      <c r="Q286" t="s">
        <v>694</v>
      </c>
    </row>
    <row r="287" spans="1:17" ht="14.5" customHeight="1">
      <c r="A287">
        <v>216</v>
      </c>
      <c r="B287" t="str">
        <f t="shared" si="8"/>
        <v>216 - pingüino de Humboldt</v>
      </c>
      <c r="C287" t="str">
        <f t="shared" si="9"/>
        <v>pingüino de Humboldt</v>
      </c>
      <c r="D287" s="1" t="s">
        <v>542</v>
      </c>
      <c r="E287" t="s">
        <v>543</v>
      </c>
      <c r="F287" t="s">
        <v>38</v>
      </c>
      <c r="G287" t="s">
        <v>243</v>
      </c>
      <c r="H287" t="s">
        <v>564</v>
      </c>
      <c r="I287" t="s">
        <v>565</v>
      </c>
      <c r="J287" t="s">
        <v>566</v>
      </c>
      <c r="K287">
        <v>1</v>
      </c>
      <c r="L287">
        <v>1</v>
      </c>
      <c r="M287" t="s">
        <v>59</v>
      </c>
      <c r="N287">
        <v>1</v>
      </c>
      <c r="O287" t="s">
        <v>97</v>
      </c>
      <c r="P287">
        <v>1</v>
      </c>
      <c r="Q287" t="s">
        <v>694</v>
      </c>
    </row>
    <row r="288" spans="1:17" ht="14.5" customHeight="1">
      <c r="A288">
        <v>216</v>
      </c>
      <c r="B288" t="str">
        <f t="shared" si="8"/>
        <v>216 - pingüino de Humboldt</v>
      </c>
      <c r="C288" t="str">
        <f t="shared" si="9"/>
        <v>pingüino de Humboldt</v>
      </c>
      <c r="D288" s="1" t="s">
        <v>542</v>
      </c>
      <c r="E288" t="s">
        <v>543</v>
      </c>
      <c r="F288" t="s">
        <v>38</v>
      </c>
      <c r="G288" t="s">
        <v>243</v>
      </c>
      <c r="H288" t="s">
        <v>567</v>
      </c>
      <c r="I288" t="s">
        <v>568</v>
      </c>
      <c r="J288" t="s">
        <v>569</v>
      </c>
      <c r="K288">
        <v>1</v>
      </c>
      <c r="L288">
        <v>1</v>
      </c>
      <c r="M288" t="s">
        <v>59</v>
      </c>
      <c r="N288">
        <v>1</v>
      </c>
      <c r="O288" t="s">
        <v>89</v>
      </c>
      <c r="P288">
        <v>1</v>
      </c>
      <c r="Q288" t="s">
        <v>694</v>
      </c>
    </row>
    <row r="289" spans="1:17" ht="14.5" customHeight="1">
      <c r="A289">
        <v>216</v>
      </c>
      <c r="B289" t="str">
        <f t="shared" si="8"/>
        <v>216 - pingüino de Humboldt</v>
      </c>
      <c r="C289" t="str">
        <f t="shared" si="9"/>
        <v>pingüino de Humboldt</v>
      </c>
      <c r="D289" s="1" t="s">
        <v>542</v>
      </c>
      <c r="E289" t="s">
        <v>543</v>
      </c>
      <c r="F289" t="s">
        <v>38</v>
      </c>
      <c r="G289" t="s">
        <v>243</v>
      </c>
      <c r="H289" t="s">
        <v>570</v>
      </c>
      <c r="I289" t="s">
        <v>571</v>
      </c>
      <c r="J289" t="s">
        <v>572</v>
      </c>
      <c r="K289">
        <v>0</v>
      </c>
      <c r="L289">
        <v>1</v>
      </c>
      <c r="M289" t="s">
        <v>59</v>
      </c>
      <c r="N289">
        <v>1</v>
      </c>
      <c r="O289" t="s">
        <v>573</v>
      </c>
      <c r="P289">
        <v>1</v>
      </c>
      <c r="Q289" t="s">
        <v>694</v>
      </c>
    </row>
    <row r="290" spans="1:17" ht="14.5" customHeight="1">
      <c r="A290">
        <v>216</v>
      </c>
      <c r="B290" t="str">
        <f t="shared" si="8"/>
        <v>216 - pingüino de Humboldt</v>
      </c>
      <c r="C290" t="str">
        <f t="shared" si="9"/>
        <v>pingüino de Humboldt</v>
      </c>
      <c r="D290" s="1" t="s">
        <v>542</v>
      </c>
      <c r="E290" t="s">
        <v>543</v>
      </c>
      <c r="F290" t="s">
        <v>38</v>
      </c>
      <c r="G290" t="s">
        <v>243</v>
      </c>
      <c r="H290" t="s">
        <v>197</v>
      </c>
      <c r="I290" t="s">
        <v>198</v>
      </c>
      <c r="J290" t="s">
        <v>199</v>
      </c>
      <c r="K290">
        <v>0</v>
      </c>
      <c r="L290">
        <v>1</v>
      </c>
      <c r="M290" t="s">
        <v>59</v>
      </c>
      <c r="N290">
        <v>1</v>
      </c>
      <c r="O290" t="s">
        <v>196</v>
      </c>
      <c r="P290">
        <v>1</v>
      </c>
      <c r="Q290" t="s">
        <v>694</v>
      </c>
    </row>
    <row r="291" spans="1:17" ht="14.5" customHeight="1">
      <c r="A291">
        <v>216</v>
      </c>
      <c r="B291" t="str">
        <f t="shared" si="8"/>
        <v>216 - pingüino de Humboldt</v>
      </c>
      <c r="C291" t="str">
        <f t="shared" si="9"/>
        <v>pingüino de Humboldt</v>
      </c>
      <c r="D291" s="1" t="s">
        <v>542</v>
      </c>
      <c r="E291" t="s">
        <v>543</v>
      </c>
      <c r="F291" t="s">
        <v>38</v>
      </c>
      <c r="G291" t="s">
        <v>243</v>
      </c>
      <c r="H291" t="s">
        <v>495</v>
      </c>
      <c r="I291" t="s">
        <v>496</v>
      </c>
      <c r="J291" t="s">
        <v>497</v>
      </c>
      <c r="K291">
        <v>1</v>
      </c>
      <c r="L291">
        <v>1</v>
      </c>
      <c r="M291" t="s">
        <v>59</v>
      </c>
      <c r="N291">
        <v>1</v>
      </c>
      <c r="O291" t="s">
        <v>97</v>
      </c>
      <c r="P291">
        <v>1</v>
      </c>
      <c r="Q291" t="s">
        <v>694</v>
      </c>
    </row>
    <row r="292" spans="1:17" ht="14.5" customHeight="1">
      <c r="A292">
        <v>216</v>
      </c>
      <c r="B292" t="str">
        <f t="shared" si="8"/>
        <v>216 - pingüino de Humboldt</v>
      </c>
      <c r="C292" t="str">
        <f t="shared" si="9"/>
        <v>pingüino de Humboldt</v>
      </c>
      <c r="D292" s="1" t="s">
        <v>542</v>
      </c>
      <c r="E292" t="s">
        <v>543</v>
      </c>
      <c r="F292" t="s">
        <v>38</v>
      </c>
      <c r="G292" t="s">
        <v>243</v>
      </c>
      <c r="H292" t="s">
        <v>514</v>
      </c>
      <c r="I292" t="s">
        <v>515</v>
      </c>
      <c r="J292" t="s">
        <v>516</v>
      </c>
      <c r="K292">
        <v>0</v>
      </c>
      <c r="L292">
        <v>1</v>
      </c>
      <c r="M292" t="s">
        <v>59</v>
      </c>
      <c r="N292">
        <v>1</v>
      </c>
      <c r="O292" t="s">
        <v>196</v>
      </c>
      <c r="P292">
        <v>1</v>
      </c>
      <c r="Q292" t="s">
        <v>694</v>
      </c>
    </row>
    <row r="293" spans="1:17" ht="14.5" customHeight="1">
      <c r="A293">
        <v>216</v>
      </c>
      <c r="B293" t="str">
        <f t="shared" si="8"/>
        <v>216 - pingüino de Humboldt</v>
      </c>
      <c r="C293" t="str">
        <f t="shared" si="9"/>
        <v>pingüino de Humboldt</v>
      </c>
      <c r="D293" s="1" t="s">
        <v>542</v>
      </c>
      <c r="E293" t="s">
        <v>543</v>
      </c>
      <c r="F293" t="s">
        <v>38</v>
      </c>
      <c r="G293" t="s">
        <v>243</v>
      </c>
      <c r="H293" t="s">
        <v>574</v>
      </c>
      <c r="I293" t="s">
        <v>107</v>
      </c>
      <c r="J293" t="s">
        <v>575</v>
      </c>
      <c r="K293">
        <v>1</v>
      </c>
      <c r="L293">
        <v>1</v>
      </c>
      <c r="M293" t="s">
        <v>59</v>
      </c>
      <c r="N293">
        <v>1</v>
      </c>
      <c r="O293" t="s">
        <v>196</v>
      </c>
      <c r="P293">
        <v>1</v>
      </c>
      <c r="Q293" t="s">
        <v>694</v>
      </c>
    </row>
    <row r="294" spans="1:17" ht="14.5" customHeight="1">
      <c r="A294">
        <v>216</v>
      </c>
      <c r="B294" t="str">
        <f t="shared" si="8"/>
        <v>216 - pingüino de Humboldt</v>
      </c>
      <c r="C294" t="str">
        <f t="shared" si="9"/>
        <v>pingüino de Humboldt</v>
      </c>
      <c r="D294" s="1" t="s">
        <v>542</v>
      </c>
      <c r="E294" t="s">
        <v>543</v>
      </c>
      <c r="F294" t="s">
        <v>38</v>
      </c>
      <c r="G294" t="s">
        <v>243</v>
      </c>
      <c r="H294" t="s">
        <v>576</v>
      </c>
      <c r="I294" t="s">
        <v>496</v>
      </c>
      <c r="J294" t="s">
        <v>577</v>
      </c>
      <c r="K294">
        <v>1</v>
      </c>
      <c r="L294">
        <v>1</v>
      </c>
      <c r="M294" t="s">
        <v>59</v>
      </c>
      <c r="N294">
        <v>1</v>
      </c>
      <c r="O294" t="s">
        <v>64</v>
      </c>
      <c r="P294">
        <v>1</v>
      </c>
      <c r="Q294" t="s">
        <v>694</v>
      </c>
    </row>
    <row r="295" spans="1:17" ht="14.5" customHeight="1">
      <c r="A295">
        <v>216</v>
      </c>
      <c r="B295" t="str">
        <f t="shared" si="8"/>
        <v>216 - pingüino de Humboldt</v>
      </c>
      <c r="C295" t="str">
        <f t="shared" si="9"/>
        <v>pingüino de Humboldt</v>
      </c>
      <c r="D295" s="1" t="s">
        <v>542</v>
      </c>
      <c r="E295" t="s">
        <v>543</v>
      </c>
      <c r="F295" t="s">
        <v>38</v>
      </c>
      <c r="G295" t="s">
        <v>243</v>
      </c>
      <c r="H295" t="s">
        <v>578</v>
      </c>
      <c r="I295" t="s">
        <v>104</v>
      </c>
      <c r="J295" t="s">
        <v>579</v>
      </c>
      <c r="K295">
        <v>1</v>
      </c>
      <c r="L295">
        <v>1</v>
      </c>
      <c r="M295" t="s">
        <v>59</v>
      </c>
      <c r="N295">
        <v>1</v>
      </c>
      <c r="O295" t="s">
        <v>97</v>
      </c>
      <c r="P295">
        <v>1</v>
      </c>
      <c r="Q295" t="s">
        <v>694</v>
      </c>
    </row>
    <row r="296" spans="1:17" ht="14.5" customHeight="1">
      <c r="A296">
        <v>216</v>
      </c>
      <c r="B296" t="str">
        <f t="shared" si="8"/>
        <v>216 - pingüino de Humboldt</v>
      </c>
      <c r="C296" t="str">
        <f t="shared" si="9"/>
        <v>pingüino de Humboldt</v>
      </c>
      <c r="D296" s="1" t="s">
        <v>542</v>
      </c>
      <c r="E296" t="s">
        <v>543</v>
      </c>
      <c r="F296" t="s">
        <v>38</v>
      </c>
      <c r="G296" t="s">
        <v>243</v>
      </c>
      <c r="H296" t="s">
        <v>580</v>
      </c>
      <c r="I296" t="s">
        <v>581</v>
      </c>
      <c r="J296" t="s">
        <v>582</v>
      </c>
      <c r="K296">
        <v>1</v>
      </c>
      <c r="L296">
        <v>1</v>
      </c>
      <c r="M296" t="s">
        <v>59</v>
      </c>
      <c r="N296">
        <v>1</v>
      </c>
      <c r="O296" t="s">
        <v>97</v>
      </c>
      <c r="P296">
        <v>1</v>
      </c>
      <c r="Q296" t="s">
        <v>694</v>
      </c>
    </row>
    <row r="297" spans="1:17" ht="14.5" customHeight="1">
      <c r="A297">
        <v>216</v>
      </c>
      <c r="B297" t="str">
        <f t="shared" si="8"/>
        <v>216 - pingüino de Humboldt</v>
      </c>
      <c r="C297" t="str">
        <f t="shared" si="9"/>
        <v>pingüino de Humboldt</v>
      </c>
      <c r="D297" s="1" t="s">
        <v>542</v>
      </c>
      <c r="E297" t="s">
        <v>543</v>
      </c>
      <c r="F297" t="s">
        <v>38</v>
      </c>
      <c r="G297" t="s">
        <v>243</v>
      </c>
      <c r="H297" t="s">
        <v>583</v>
      </c>
      <c r="I297" t="s">
        <v>107</v>
      </c>
      <c r="J297" t="s">
        <v>584</v>
      </c>
      <c r="K297">
        <v>1</v>
      </c>
      <c r="L297">
        <v>1</v>
      </c>
      <c r="M297" t="s">
        <v>59</v>
      </c>
      <c r="N297">
        <v>1</v>
      </c>
      <c r="O297" t="s">
        <v>196</v>
      </c>
      <c r="P297">
        <v>1</v>
      </c>
      <c r="Q297" t="s">
        <v>694</v>
      </c>
    </row>
    <row r="298" spans="1:17" ht="14.5" customHeight="1">
      <c r="A298">
        <v>216</v>
      </c>
      <c r="B298" t="str">
        <f t="shared" si="8"/>
        <v>216 - pingüino de Humboldt</v>
      </c>
      <c r="C298" t="str">
        <f t="shared" si="9"/>
        <v>pingüino de Humboldt</v>
      </c>
      <c r="D298" s="1" t="s">
        <v>542</v>
      </c>
      <c r="E298" t="s">
        <v>543</v>
      </c>
      <c r="F298" t="s">
        <v>38</v>
      </c>
      <c r="G298" t="s">
        <v>243</v>
      </c>
      <c r="H298" t="s">
        <v>585</v>
      </c>
      <c r="I298" t="s">
        <v>62</v>
      </c>
      <c r="J298" t="s">
        <v>586</v>
      </c>
      <c r="K298">
        <v>1</v>
      </c>
      <c r="L298">
        <v>1</v>
      </c>
      <c r="M298" t="s">
        <v>59</v>
      </c>
      <c r="N298">
        <v>1</v>
      </c>
      <c r="O298" t="s">
        <v>64</v>
      </c>
      <c r="P298">
        <v>1</v>
      </c>
      <c r="Q298" t="s">
        <v>694</v>
      </c>
    </row>
    <row r="299" spans="1:17" ht="14.5" customHeight="1">
      <c r="A299">
        <v>216</v>
      </c>
      <c r="B299" t="str">
        <f t="shared" si="8"/>
        <v>216 - pingüino de Humboldt</v>
      </c>
      <c r="C299" t="str">
        <f t="shared" si="9"/>
        <v>pingüino de Humboldt</v>
      </c>
      <c r="D299" s="1" t="s">
        <v>542</v>
      </c>
      <c r="E299" t="s">
        <v>543</v>
      </c>
      <c r="F299" t="s">
        <v>38</v>
      </c>
      <c r="G299" t="s">
        <v>243</v>
      </c>
      <c r="H299" t="s">
        <v>587</v>
      </c>
      <c r="I299" t="s">
        <v>66</v>
      </c>
      <c r="J299" t="s">
        <v>588</v>
      </c>
      <c r="K299">
        <v>1</v>
      </c>
      <c r="L299">
        <v>1</v>
      </c>
      <c r="M299" t="s">
        <v>59</v>
      </c>
      <c r="N299">
        <v>1</v>
      </c>
      <c r="O299" t="s">
        <v>97</v>
      </c>
      <c r="P299">
        <v>1</v>
      </c>
      <c r="Q299" t="s">
        <v>694</v>
      </c>
    </row>
    <row r="300" spans="1:17" ht="14.5" customHeight="1">
      <c r="A300">
        <v>216</v>
      </c>
      <c r="B300" t="str">
        <f t="shared" si="8"/>
        <v>216 - pingüino de Humboldt</v>
      </c>
      <c r="C300" t="str">
        <f t="shared" si="9"/>
        <v>pingüino de Humboldt</v>
      </c>
      <c r="D300" s="1" t="s">
        <v>542</v>
      </c>
      <c r="E300" t="s">
        <v>543</v>
      </c>
      <c r="F300" t="s">
        <v>38</v>
      </c>
      <c r="G300" t="s">
        <v>243</v>
      </c>
      <c r="H300" t="s">
        <v>589</v>
      </c>
      <c r="I300" t="s">
        <v>107</v>
      </c>
      <c r="J300" t="s">
        <v>590</v>
      </c>
      <c r="K300">
        <v>1</v>
      </c>
      <c r="L300">
        <v>1</v>
      </c>
      <c r="M300" t="s">
        <v>59</v>
      </c>
      <c r="N300">
        <v>1</v>
      </c>
      <c r="O300" t="s">
        <v>64</v>
      </c>
      <c r="P300">
        <v>1</v>
      </c>
      <c r="Q300" t="s">
        <v>694</v>
      </c>
    </row>
    <row r="301" spans="1:17" ht="14.5" customHeight="1">
      <c r="A301">
        <v>216</v>
      </c>
      <c r="B301" t="str">
        <f t="shared" si="8"/>
        <v>216 - pingüino de Humboldt</v>
      </c>
      <c r="C301" t="str">
        <f t="shared" si="9"/>
        <v>pingüino de Humboldt</v>
      </c>
      <c r="D301" s="1" t="s">
        <v>542</v>
      </c>
      <c r="E301" t="s">
        <v>543</v>
      </c>
      <c r="F301" t="s">
        <v>38</v>
      </c>
      <c r="G301" t="s">
        <v>243</v>
      </c>
      <c r="H301" t="s">
        <v>591</v>
      </c>
      <c r="I301" t="s">
        <v>107</v>
      </c>
      <c r="J301" t="s">
        <v>592</v>
      </c>
      <c r="K301">
        <v>1</v>
      </c>
      <c r="L301">
        <v>1</v>
      </c>
      <c r="M301" t="s">
        <v>59</v>
      </c>
      <c r="N301">
        <v>1</v>
      </c>
      <c r="O301" t="s">
        <v>89</v>
      </c>
      <c r="P301">
        <v>1</v>
      </c>
      <c r="Q301" t="s">
        <v>694</v>
      </c>
    </row>
    <row r="302" spans="1:17" ht="14.5" customHeight="1">
      <c r="A302">
        <v>216</v>
      </c>
      <c r="B302" t="str">
        <f t="shared" si="8"/>
        <v>216 - pingüino de Humboldt</v>
      </c>
      <c r="C302" t="str">
        <f t="shared" si="9"/>
        <v>pingüino de Humboldt</v>
      </c>
      <c r="D302" s="1" t="s">
        <v>542</v>
      </c>
      <c r="E302" t="s">
        <v>543</v>
      </c>
      <c r="F302" t="s">
        <v>38</v>
      </c>
      <c r="G302" t="s">
        <v>243</v>
      </c>
      <c r="H302" t="s">
        <v>593</v>
      </c>
      <c r="I302" t="s">
        <v>581</v>
      </c>
      <c r="J302" t="s">
        <v>594</v>
      </c>
      <c r="K302">
        <v>1</v>
      </c>
      <c r="L302">
        <v>1</v>
      </c>
      <c r="M302" t="s">
        <v>59</v>
      </c>
      <c r="N302">
        <v>1</v>
      </c>
      <c r="O302" t="s">
        <v>97</v>
      </c>
      <c r="P302">
        <v>1</v>
      </c>
      <c r="Q302" t="s">
        <v>694</v>
      </c>
    </row>
    <row r="303" spans="1:17" ht="14.5" customHeight="1">
      <c r="A303">
        <v>216</v>
      </c>
      <c r="B303" t="str">
        <f t="shared" si="8"/>
        <v>216 - pingüino de Humboldt</v>
      </c>
      <c r="C303" t="str">
        <f t="shared" si="9"/>
        <v>pingüino de Humboldt</v>
      </c>
      <c r="D303" s="1" t="s">
        <v>542</v>
      </c>
      <c r="E303" t="s">
        <v>543</v>
      </c>
      <c r="F303" t="s">
        <v>38</v>
      </c>
      <c r="G303" t="s">
        <v>243</v>
      </c>
      <c r="H303" t="s">
        <v>595</v>
      </c>
      <c r="I303" t="s">
        <v>502</v>
      </c>
      <c r="J303" t="s">
        <v>596</v>
      </c>
      <c r="K303">
        <v>1</v>
      </c>
      <c r="L303">
        <v>1</v>
      </c>
      <c r="M303" t="s">
        <v>59</v>
      </c>
      <c r="N303">
        <v>1</v>
      </c>
      <c r="O303" t="s">
        <v>97</v>
      </c>
      <c r="P303">
        <v>1</v>
      </c>
      <c r="Q303" t="s">
        <v>694</v>
      </c>
    </row>
    <row r="304" spans="1:17" ht="14.5" customHeight="1">
      <c r="A304">
        <v>216</v>
      </c>
      <c r="B304" t="str">
        <f t="shared" si="8"/>
        <v>216 - pingüino de Humboldt</v>
      </c>
      <c r="C304" t="str">
        <f t="shared" si="9"/>
        <v>pingüino de Humboldt</v>
      </c>
      <c r="D304" s="1" t="s">
        <v>542</v>
      </c>
      <c r="E304" t="s">
        <v>543</v>
      </c>
      <c r="F304" t="s">
        <v>38</v>
      </c>
      <c r="G304" t="s">
        <v>243</v>
      </c>
      <c r="H304" t="s">
        <v>597</v>
      </c>
      <c r="I304" t="s">
        <v>158</v>
      </c>
      <c r="J304" t="s">
        <v>598</v>
      </c>
      <c r="K304">
        <v>1</v>
      </c>
      <c r="L304">
        <v>1</v>
      </c>
      <c r="M304" t="s">
        <v>59</v>
      </c>
      <c r="N304">
        <v>1</v>
      </c>
      <c r="O304" t="s">
        <v>97</v>
      </c>
      <c r="P304">
        <v>1</v>
      </c>
      <c r="Q304" t="s">
        <v>694</v>
      </c>
    </row>
    <row r="305" spans="1:17" ht="14.5" customHeight="1">
      <c r="A305">
        <v>216</v>
      </c>
      <c r="B305" t="str">
        <f t="shared" si="8"/>
        <v>216 - pingüino de Humboldt</v>
      </c>
      <c r="C305" t="str">
        <f t="shared" si="9"/>
        <v>pingüino de Humboldt</v>
      </c>
      <c r="D305" s="1" t="s">
        <v>542</v>
      </c>
      <c r="E305" t="s">
        <v>543</v>
      </c>
      <c r="F305" t="s">
        <v>38</v>
      </c>
      <c r="G305" t="s">
        <v>243</v>
      </c>
      <c r="H305" t="s">
        <v>599</v>
      </c>
      <c r="I305" t="s">
        <v>600</v>
      </c>
      <c r="J305" t="s">
        <v>601</v>
      </c>
      <c r="K305">
        <v>1</v>
      </c>
      <c r="L305">
        <v>1</v>
      </c>
      <c r="M305" t="s">
        <v>59</v>
      </c>
      <c r="N305">
        <v>1</v>
      </c>
      <c r="O305" t="s">
        <v>97</v>
      </c>
      <c r="P305">
        <v>1</v>
      </c>
      <c r="Q305" t="s">
        <v>694</v>
      </c>
    </row>
    <row r="306" spans="1:17" ht="14.5" customHeight="1">
      <c r="A306">
        <v>216</v>
      </c>
      <c r="B306" t="str">
        <f t="shared" si="8"/>
        <v>216 - pingüino de Humboldt</v>
      </c>
      <c r="C306" t="str">
        <f t="shared" si="9"/>
        <v>pingüino de Humboldt</v>
      </c>
      <c r="D306" s="1" t="s">
        <v>542</v>
      </c>
      <c r="E306" t="s">
        <v>543</v>
      </c>
      <c r="F306" t="s">
        <v>38</v>
      </c>
      <c r="G306" t="s">
        <v>243</v>
      </c>
      <c r="H306" t="s">
        <v>602</v>
      </c>
      <c r="I306" t="s">
        <v>104</v>
      </c>
      <c r="J306" t="s">
        <v>603</v>
      </c>
      <c r="K306">
        <v>1</v>
      </c>
      <c r="L306">
        <v>1</v>
      </c>
      <c r="M306" t="s">
        <v>59</v>
      </c>
      <c r="N306">
        <v>1</v>
      </c>
      <c r="O306" t="s">
        <v>89</v>
      </c>
      <c r="P306">
        <v>1</v>
      </c>
      <c r="Q306" t="s">
        <v>694</v>
      </c>
    </row>
    <row r="307" spans="1:17" ht="14.5" customHeight="1">
      <c r="A307">
        <v>216</v>
      </c>
      <c r="B307" t="str">
        <f t="shared" si="8"/>
        <v>216 - pingüino de Humboldt</v>
      </c>
      <c r="C307" t="str">
        <f t="shared" si="9"/>
        <v>pingüino de Humboldt</v>
      </c>
      <c r="D307" s="1" t="s">
        <v>542</v>
      </c>
      <c r="E307" t="s">
        <v>543</v>
      </c>
      <c r="F307" t="s">
        <v>38</v>
      </c>
      <c r="G307" t="s">
        <v>243</v>
      </c>
      <c r="H307" t="s">
        <v>604</v>
      </c>
      <c r="I307" t="s">
        <v>187</v>
      </c>
      <c r="J307" t="s">
        <v>605</v>
      </c>
      <c r="K307">
        <v>1</v>
      </c>
      <c r="L307">
        <v>1</v>
      </c>
      <c r="M307" t="s">
        <v>59</v>
      </c>
      <c r="N307">
        <v>1</v>
      </c>
      <c r="O307" t="s">
        <v>64</v>
      </c>
      <c r="P307">
        <v>1</v>
      </c>
      <c r="Q307" t="s">
        <v>694</v>
      </c>
    </row>
    <row r="308" spans="1:17" ht="14.5" customHeight="1">
      <c r="A308">
        <v>216</v>
      </c>
      <c r="B308" t="str">
        <f t="shared" si="8"/>
        <v>216 - pingüino de Humboldt</v>
      </c>
      <c r="C308" t="str">
        <f t="shared" si="9"/>
        <v>pingüino de Humboldt</v>
      </c>
      <c r="D308" s="1" t="s">
        <v>542</v>
      </c>
      <c r="E308" t="s">
        <v>543</v>
      </c>
      <c r="F308" t="s">
        <v>38</v>
      </c>
      <c r="G308" t="s">
        <v>243</v>
      </c>
      <c r="H308" t="s">
        <v>606</v>
      </c>
      <c r="I308" t="s">
        <v>66</v>
      </c>
      <c r="J308" t="s">
        <v>607</v>
      </c>
      <c r="K308">
        <v>1</v>
      </c>
      <c r="L308">
        <v>1</v>
      </c>
      <c r="M308" t="s">
        <v>59</v>
      </c>
      <c r="N308">
        <v>1</v>
      </c>
      <c r="O308" t="s">
        <v>89</v>
      </c>
      <c r="P308">
        <v>1</v>
      </c>
      <c r="Q308" t="s">
        <v>694</v>
      </c>
    </row>
    <row r="309" spans="1:17" ht="14.5" customHeight="1">
      <c r="A309">
        <v>216</v>
      </c>
      <c r="B309" t="str">
        <f t="shared" si="8"/>
        <v>216 - pingüino de Humboldt</v>
      </c>
      <c r="C309" t="str">
        <f t="shared" si="9"/>
        <v>pingüino de Humboldt</v>
      </c>
      <c r="D309" s="1" t="s">
        <v>542</v>
      </c>
      <c r="E309" t="s">
        <v>543</v>
      </c>
      <c r="F309" t="s">
        <v>38</v>
      </c>
      <c r="G309" t="s">
        <v>243</v>
      </c>
      <c r="H309" t="s">
        <v>608</v>
      </c>
      <c r="I309" t="s">
        <v>66</v>
      </c>
      <c r="J309" t="s">
        <v>609</v>
      </c>
      <c r="K309">
        <v>0</v>
      </c>
      <c r="L309">
        <v>1</v>
      </c>
      <c r="M309" t="s">
        <v>59</v>
      </c>
      <c r="N309">
        <v>1</v>
      </c>
      <c r="O309" t="s">
        <v>196</v>
      </c>
      <c r="P309">
        <v>1</v>
      </c>
      <c r="Q309" t="s">
        <v>694</v>
      </c>
    </row>
    <row r="310" spans="1:17" ht="14.5" customHeight="1">
      <c r="A310">
        <v>216</v>
      </c>
      <c r="B310" t="str">
        <f t="shared" si="8"/>
        <v>216 - pingüino de Humboldt</v>
      </c>
      <c r="C310" t="str">
        <f t="shared" si="9"/>
        <v>pingüino de Humboldt</v>
      </c>
      <c r="D310" s="1" t="s">
        <v>542</v>
      </c>
      <c r="E310" t="s">
        <v>543</v>
      </c>
      <c r="F310" t="s">
        <v>38</v>
      </c>
      <c r="G310" t="s">
        <v>243</v>
      </c>
      <c r="H310" t="s">
        <v>610</v>
      </c>
      <c r="I310" t="s">
        <v>107</v>
      </c>
      <c r="J310" t="s">
        <v>611</v>
      </c>
      <c r="K310">
        <v>1</v>
      </c>
      <c r="L310">
        <v>1</v>
      </c>
      <c r="M310" t="s">
        <v>59</v>
      </c>
      <c r="N310">
        <v>1</v>
      </c>
      <c r="O310" t="s">
        <v>89</v>
      </c>
      <c r="P310">
        <v>1</v>
      </c>
      <c r="Q310" t="s">
        <v>694</v>
      </c>
    </row>
    <row r="311" spans="1:17" ht="14.5" customHeight="1">
      <c r="A311">
        <v>216</v>
      </c>
      <c r="B311" t="str">
        <f t="shared" si="8"/>
        <v>216 - pingüino de Humboldt</v>
      </c>
      <c r="C311" t="str">
        <f t="shared" si="9"/>
        <v>pingüino de Humboldt</v>
      </c>
      <c r="D311" s="1" t="s">
        <v>542</v>
      </c>
      <c r="E311" t="s">
        <v>543</v>
      </c>
      <c r="F311" t="s">
        <v>38</v>
      </c>
      <c r="G311" t="s">
        <v>243</v>
      </c>
      <c r="H311" t="s">
        <v>612</v>
      </c>
      <c r="I311" t="s">
        <v>613</v>
      </c>
      <c r="J311" t="s">
        <v>614</v>
      </c>
      <c r="K311">
        <v>1</v>
      </c>
      <c r="L311">
        <v>1</v>
      </c>
      <c r="M311" t="s">
        <v>59</v>
      </c>
      <c r="N311">
        <v>1</v>
      </c>
      <c r="O311" t="s">
        <v>89</v>
      </c>
      <c r="P311">
        <v>0</v>
      </c>
      <c r="Q311" t="s">
        <v>694</v>
      </c>
    </row>
    <row r="312" spans="1:17" ht="14.5" customHeight="1">
      <c r="A312">
        <v>216</v>
      </c>
      <c r="B312" t="str">
        <f t="shared" si="8"/>
        <v>216 - pingüino de Humboldt</v>
      </c>
      <c r="C312" t="str">
        <f t="shared" si="9"/>
        <v>pingüino de Humboldt</v>
      </c>
      <c r="D312" s="1" t="s">
        <v>542</v>
      </c>
      <c r="E312" t="s">
        <v>543</v>
      </c>
      <c r="F312" t="s">
        <v>38</v>
      </c>
      <c r="G312" t="s">
        <v>243</v>
      </c>
      <c r="H312" t="s">
        <v>61</v>
      </c>
      <c r="I312" t="s">
        <v>62</v>
      </c>
      <c r="J312" t="s">
        <v>63</v>
      </c>
      <c r="K312">
        <v>1</v>
      </c>
      <c r="L312">
        <v>1</v>
      </c>
      <c r="M312" t="s">
        <v>59</v>
      </c>
      <c r="N312">
        <v>1</v>
      </c>
      <c r="O312" t="s">
        <v>64</v>
      </c>
      <c r="P312">
        <v>1</v>
      </c>
      <c r="Q312" t="s">
        <v>694</v>
      </c>
    </row>
    <row r="313" spans="1:17" ht="14.5" customHeight="1">
      <c r="A313">
        <v>216</v>
      </c>
      <c r="B313" t="str">
        <f t="shared" si="8"/>
        <v>216 - pingüino de Humboldt</v>
      </c>
      <c r="C313" t="str">
        <f t="shared" si="9"/>
        <v>pingüino de Humboldt</v>
      </c>
      <c r="D313" s="1" t="s">
        <v>542</v>
      </c>
      <c r="E313" t="s">
        <v>543</v>
      </c>
      <c r="F313" t="s">
        <v>38</v>
      </c>
      <c r="G313" t="s">
        <v>243</v>
      </c>
      <c r="H313" t="s">
        <v>615</v>
      </c>
      <c r="I313" t="s">
        <v>616</v>
      </c>
      <c r="J313" t="s">
        <v>617</v>
      </c>
      <c r="K313">
        <v>1</v>
      </c>
      <c r="L313">
        <v>1</v>
      </c>
      <c r="M313" t="s">
        <v>59</v>
      </c>
      <c r="N313">
        <v>1</v>
      </c>
      <c r="O313" t="s">
        <v>97</v>
      </c>
      <c r="P313">
        <v>1</v>
      </c>
      <c r="Q313" t="s">
        <v>694</v>
      </c>
    </row>
    <row r="314" spans="1:17" ht="14.5" customHeight="1">
      <c r="A314">
        <v>216</v>
      </c>
      <c r="B314" t="str">
        <f t="shared" si="8"/>
        <v>216 - pingüino de Humboldt</v>
      </c>
      <c r="C314" t="str">
        <f t="shared" si="9"/>
        <v>pingüino de Humboldt</v>
      </c>
      <c r="D314" s="1" t="s">
        <v>542</v>
      </c>
      <c r="E314" t="s">
        <v>543</v>
      </c>
      <c r="F314" t="s">
        <v>38</v>
      </c>
      <c r="G314" t="s">
        <v>243</v>
      </c>
      <c r="H314" t="s">
        <v>193</v>
      </c>
      <c r="I314" t="s">
        <v>194</v>
      </c>
      <c r="J314" t="s">
        <v>195</v>
      </c>
      <c r="K314">
        <v>0</v>
      </c>
      <c r="L314">
        <v>1</v>
      </c>
      <c r="M314" t="s">
        <v>59</v>
      </c>
      <c r="N314">
        <v>1</v>
      </c>
      <c r="O314" t="s">
        <v>196</v>
      </c>
      <c r="P314">
        <v>1</v>
      </c>
      <c r="Q314" t="s">
        <v>694</v>
      </c>
    </row>
    <row r="315" spans="1:17" ht="14.5" customHeight="1">
      <c r="A315">
        <v>216</v>
      </c>
      <c r="B315" t="str">
        <f t="shared" si="8"/>
        <v>216 - pingüino de Humboldt</v>
      </c>
      <c r="C315" t="str">
        <f t="shared" si="9"/>
        <v>pingüino de Humboldt</v>
      </c>
      <c r="D315" s="1" t="s">
        <v>542</v>
      </c>
      <c r="E315" t="s">
        <v>543</v>
      </c>
      <c r="F315" t="s">
        <v>38</v>
      </c>
      <c r="G315" t="s">
        <v>243</v>
      </c>
      <c r="H315" t="s">
        <v>618</v>
      </c>
      <c r="I315" t="s">
        <v>57</v>
      </c>
      <c r="J315" t="s">
        <v>619</v>
      </c>
      <c r="K315">
        <v>1</v>
      </c>
      <c r="L315">
        <v>1</v>
      </c>
      <c r="M315" t="s">
        <v>59</v>
      </c>
      <c r="N315">
        <v>1</v>
      </c>
      <c r="O315" t="s">
        <v>97</v>
      </c>
      <c r="P315">
        <v>1</v>
      </c>
      <c r="Q315" t="s">
        <v>694</v>
      </c>
    </row>
    <row r="316" spans="1:17" ht="14.5" customHeight="1">
      <c r="A316">
        <v>216</v>
      </c>
      <c r="B316" t="str">
        <f t="shared" si="8"/>
        <v>216 - pingüino de Humboldt</v>
      </c>
      <c r="C316" t="str">
        <f t="shared" si="9"/>
        <v>pingüino de Humboldt</v>
      </c>
      <c r="D316" s="1" t="s">
        <v>542</v>
      </c>
      <c r="E316" t="s">
        <v>543</v>
      </c>
      <c r="F316" t="s">
        <v>38</v>
      </c>
      <c r="G316" t="s">
        <v>243</v>
      </c>
      <c r="H316" t="s">
        <v>620</v>
      </c>
      <c r="I316" t="s">
        <v>621</v>
      </c>
      <c r="J316" t="s">
        <v>622</v>
      </c>
      <c r="K316">
        <v>1</v>
      </c>
      <c r="L316">
        <v>1</v>
      </c>
      <c r="M316" t="s">
        <v>59</v>
      </c>
      <c r="N316">
        <v>1</v>
      </c>
      <c r="O316" t="s">
        <v>97</v>
      </c>
      <c r="P316">
        <v>1</v>
      </c>
      <c r="Q316" t="s">
        <v>694</v>
      </c>
    </row>
    <row r="317" spans="1:17" ht="14.5" customHeight="1">
      <c r="A317">
        <v>216</v>
      </c>
      <c r="B317" t="str">
        <f t="shared" si="8"/>
        <v>216 - pingüino de Humboldt</v>
      </c>
      <c r="C317" t="str">
        <f t="shared" si="9"/>
        <v>pingüino de Humboldt</v>
      </c>
      <c r="D317" s="1" t="s">
        <v>542</v>
      </c>
      <c r="E317" t="s">
        <v>543</v>
      </c>
      <c r="F317" t="s">
        <v>38</v>
      </c>
      <c r="G317" t="s">
        <v>243</v>
      </c>
      <c r="H317" t="s">
        <v>623</v>
      </c>
      <c r="I317" t="s">
        <v>624</v>
      </c>
      <c r="J317" t="s">
        <v>625</v>
      </c>
      <c r="K317">
        <v>1</v>
      </c>
      <c r="L317">
        <v>1</v>
      </c>
      <c r="M317" t="s">
        <v>59</v>
      </c>
      <c r="N317">
        <v>1</v>
      </c>
      <c r="O317" t="s">
        <v>89</v>
      </c>
      <c r="P317">
        <v>1</v>
      </c>
      <c r="Q317" t="s">
        <v>694</v>
      </c>
    </row>
    <row r="318" spans="1:17" ht="14.5" customHeight="1">
      <c r="A318">
        <v>216</v>
      </c>
      <c r="B318" t="str">
        <f t="shared" si="8"/>
        <v>216 - pingüino de Humboldt</v>
      </c>
      <c r="C318" t="str">
        <f t="shared" si="9"/>
        <v>pingüino de Humboldt</v>
      </c>
      <c r="D318" s="1" t="s">
        <v>542</v>
      </c>
      <c r="E318" t="s">
        <v>543</v>
      </c>
      <c r="F318" t="s">
        <v>38</v>
      </c>
      <c r="G318" t="s">
        <v>243</v>
      </c>
      <c r="H318" t="s">
        <v>626</v>
      </c>
      <c r="I318" t="s">
        <v>107</v>
      </c>
      <c r="J318" t="s">
        <v>627</v>
      </c>
      <c r="K318">
        <v>1</v>
      </c>
      <c r="L318">
        <v>1</v>
      </c>
      <c r="M318" t="s">
        <v>59</v>
      </c>
      <c r="N318">
        <v>1</v>
      </c>
      <c r="O318" t="s">
        <v>196</v>
      </c>
      <c r="P318">
        <v>1</v>
      </c>
      <c r="Q318" t="s">
        <v>694</v>
      </c>
    </row>
    <row r="319" spans="1:17" ht="14.5" customHeight="1">
      <c r="A319">
        <v>216</v>
      </c>
      <c r="B319" t="str">
        <f t="shared" si="8"/>
        <v>216 - pingüino de Humboldt</v>
      </c>
      <c r="C319" t="str">
        <f t="shared" si="9"/>
        <v>pingüino de Humboldt</v>
      </c>
      <c r="D319" s="1" t="s">
        <v>542</v>
      </c>
      <c r="E319" t="s">
        <v>543</v>
      </c>
      <c r="F319" t="s">
        <v>38</v>
      </c>
      <c r="G319" t="s">
        <v>243</v>
      </c>
      <c r="H319" t="s">
        <v>151</v>
      </c>
      <c r="I319" t="s">
        <v>152</v>
      </c>
      <c r="J319" t="s">
        <v>153</v>
      </c>
      <c r="K319">
        <v>1</v>
      </c>
      <c r="L319">
        <v>1</v>
      </c>
      <c r="M319" t="s">
        <v>59</v>
      </c>
      <c r="N319">
        <v>1</v>
      </c>
      <c r="O319" t="s">
        <v>64</v>
      </c>
      <c r="P319">
        <v>1</v>
      </c>
      <c r="Q319" t="s">
        <v>694</v>
      </c>
    </row>
    <row r="320" spans="1:17" ht="14.5" customHeight="1">
      <c r="A320">
        <v>216</v>
      </c>
      <c r="B320" t="str">
        <f t="shared" si="8"/>
        <v>216 - pingüino de Humboldt</v>
      </c>
      <c r="C320" t="str">
        <f t="shared" si="9"/>
        <v>pingüino de Humboldt</v>
      </c>
      <c r="D320" s="1" t="s">
        <v>542</v>
      </c>
      <c r="E320" t="s">
        <v>543</v>
      </c>
      <c r="F320" t="s">
        <v>38</v>
      </c>
      <c r="G320" t="s">
        <v>243</v>
      </c>
      <c r="H320" t="s">
        <v>628</v>
      </c>
      <c r="I320" t="s">
        <v>629</v>
      </c>
      <c r="J320" t="s">
        <v>630</v>
      </c>
      <c r="K320">
        <v>1</v>
      </c>
      <c r="L320">
        <v>1</v>
      </c>
      <c r="M320" t="s">
        <v>59</v>
      </c>
      <c r="N320">
        <v>1</v>
      </c>
      <c r="O320" t="s">
        <v>196</v>
      </c>
      <c r="P320">
        <v>1</v>
      </c>
      <c r="Q320" t="s">
        <v>694</v>
      </c>
    </row>
    <row r="321" spans="1:17" ht="14.5" customHeight="1">
      <c r="A321">
        <v>216</v>
      </c>
      <c r="B321" t="str">
        <f t="shared" si="8"/>
        <v>216 - pingüino de Humboldt</v>
      </c>
      <c r="C321" t="str">
        <f t="shared" si="9"/>
        <v>pingüino de Humboldt</v>
      </c>
      <c r="D321" s="1" t="s">
        <v>542</v>
      </c>
      <c r="E321" t="s">
        <v>543</v>
      </c>
      <c r="F321" t="s">
        <v>38</v>
      </c>
      <c r="G321" t="s">
        <v>243</v>
      </c>
      <c r="H321" t="s">
        <v>517</v>
      </c>
      <c r="I321" t="s">
        <v>518</v>
      </c>
      <c r="J321" t="s">
        <v>519</v>
      </c>
      <c r="K321">
        <v>1</v>
      </c>
      <c r="L321">
        <v>1</v>
      </c>
      <c r="M321" t="s">
        <v>59</v>
      </c>
      <c r="N321">
        <v>1</v>
      </c>
      <c r="O321" t="s">
        <v>196</v>
      </c>
      <c r="P321">
        <v>1</v>
      </c>
      <c r="Q321" t="s">
        <v>694</v>
      </c>
    </row>
    <row r="322" spans="1:17" ht="14.5" customHeight="1">
      <c r="A322">
        <v>216</v>
      </c>
      <c r="B322" t="str">
        <f t="shared" ref="B322:B385" si="10">A322 &amp; " - " &amp; C322</f>
        <v>216 - pingüino de Humboldt</v>
      </c>
      <c r="C322" t="str">
        <f t="shared" ref="C322:C385" si="11">IF(E322="", D322, LEFT(E322, SEARCH(",", E322 &amp; ",") - 1))</f>
        <v>pingüino de Humboldt</v>
      </c>
      <c r="D322" s="1" t="s">
        <v>542</v>
      </c>
      <c r="E322" t="s">
        <v>543</v>
      </c>
      <c r="F322" t="s">
        <v>38</v>
      </c>
      <c r="G322" t="s">
        <v>243</v>
      </c>
      <c r="H322" t="s">
        <v>631</v>
      </c>
      <c r="I322" t="s">
        <v>632</v>
      </c>
      <c r="J322" t="s">
        <v>633</v>
      </c>
      <c r="K322">
        <v>1</v>
      </c>
      <c r="L322">
        <v>1</v>
      </c>
      <c r="M322" t="s">
        <v>59</v>
      </c>
      <c r="N322">
        <v>1</v>
      </c>
      <c r="O322" t="s">
        <v>89</v>
      </c>
      <c r="P322">
        <v>1</v>
      </c>
      <c r="Q322" t="s">
        <v>694</v>
      </c>
    </row>
    <row r="323" spans="1:17" ht="14.5" customHeight="1">
      <c r="A323">
        <v>216</v>
      </c>
      <c r="B323" t="str">
        <f t="shared" si="10"/>
        <v>216 - pingüino de Humboldt</v>
      </c>
      <c r="C323" t="str">
        <f t="shared" si="11"/>
        <v>pingüino de Humboldt</v>
      </c>
      <c r="D323" s="1" t="s">
        <v>542</v>
      </c>
      <c r="E323" t="s">
        <v>543</v>
      </c>
      <c r="F323" t="s">
        <v>38</v>
      </c>
      <c r="G323" t="s">
        <v>243</v>
      </c>
      <c r="H323" t="s">
        <v>634</v>
      </c>
      <c r="I323" t="s">
        <v>635</v>
      </c>
      <c r="J323" t="s">
        <v>636</v>
      </c>
      <c r="K323">
        <v>1</v>
      </c>
      <c r="L323">
        <v>1</v>
      </c>
      <c r="M323" t="s">
        <v>149</v>
      </c>
      <c r="N323">
        <v>1</v>
      </c>
      <c r="O323" t="s">
        <v>175</v>
      </c>
      <c r="P323">
        <v>1</v>
      </c>
      <c r="Q323" t="s">
        <v>694</v>
      </c>
    </row>
    <row r="324" spans="1:17" ht="14.5" customHeight="1">
      <c r="A324">
        <v>216</v>
      </c>
      <c r="B324" t="str">
        <f t="shared" si="10"/>
        <v>216 - pingüino de Humboldt</v>
      </c>
      <c r="C324" t="str">
        <f t="shared" si="11"/>
        <v>pingüino de Humboldt</v>
      </c>
      <c r="D324" s="1" t="s">
        <v>542</v>
      </c>
      <c r="E324" t="s">
        <v>543</v>
      </c>
      <c r="F324" t="s">
        <v>38</v>
      </c>
      <c r="G324" t="s">
        <v>243</v>
      </c>
      <c r="H324" t="s">
        <v>637</v>
      </c>
      <c r="I324" t="s">
        <v>638</v>
      </c>
      <c r="J324" t="s">
        <v>639</v>
      </c>
      <c r="K324">
        <v>1</v>
      </c>
      <c r="L324">
        <v>1</v>
      </c>
      <c r="M324" t="s">
        <v>59</v>
      </c>
      <c r="N324">
        <v>1</v>
      </c>
      <c r="O324" t="s">
        <v>640</v>
      </c>
      <c r="P324">
        <v>1</v>
      </c>
      <c r="Q324" t="s">
        <v>694</v>
      </c>
    </row>
    <row r="325" spans="1:17" ht="14.5" customHeight="1">
      <c r="A325">
        <v>216</v>
      </c>
      <c r="B325" t="str">
        <f t="shared" si="10"/>
        <v>216 - pingüino de Humboldt</v>
      </c>
      <c r="C325" t="str">
        <f t="shared" si="11"/>
        <v>pingüino de Humboldt</v>
      </c>
      <c r="D325" s="1" t="s">
        <v>542</v>
      </c>
      <c r="E325" t="s">
        <v>543</v>
      </c>
      <c r="F325" t="s">
        <v>38</v>
      </c>
      <c r="G325" t="s">
        <v>243</v>
      </c>
      <c r="H325" t="s">
        <v>641</v>
      </c>
      <c r="I325" t="s">
        <v>66</v>
      </c>
      <c r="J325" t="s">
        <v>642</v>
      </c>
      <c r="K325">
        <v>1</v>
      </c>
      <c r="L325">
        <v>1</v>
      </c>
      <c r="M325" t="s">
        <v>59</v>
      </c>
      <c r="N325">
        <v>1</v>
      </c>
      <c r="O325" t="s">
        <v>60</v>
      </c>
      <c r="P325">
        <v>1</v>
      </c>
      <c r="Q325" t="s">
        <v>694</v>
      </c>
    </row>
    <row r="326" spans="1:17" ht="14.5" customHeight="1">
      <c r="A326">
        <v>216</v>
      </c>
      <c r="B326" t="str">
        <f t="shared" si="10"/>
        <v>216 - pingüino de Humboldt</v>
      </c>
      <c r="C326" t="str">
        <f t="shared" si="11"/>
        <v>pingüino de Humboldt</v>
      </c>
      <c r="D326" s="1" t="s">
        <v>542</v>
      </c>
      <c r="E326" t="s">
        <v>543</v>
      </c>
      <c r="F326" t="s">
        <v>38</v>
      </c>
      <c r="G326" t="s">
        <v>243</v>
      </c>
      <c r="H326" t="s">
        <v>146</v>
      </c>
      <c r="I326" t="s">
        <v>147</v>
      </c>
      <c r="J326" t="s">
        <v>148</v>
      </c>
      <c r="K326">
        <v>1</v>
      </c>
      <c r="L326">
        <v>1</v>
      </c>
      <c r="M326" t="s">
        <v>59</v>
      </c>
      <c r="N326">
        <v>1</v>
      </c>
      <c r="O326" t="s">
        <v>60</v>
      </c>
      <c r="P326">
        <v>1</v>
      </c>
      <c r="Q326" t="s">
        <v>694</v>
      </c>
    </row>
    <row r="327" spans="1:17" ht="14.5" customHeight="1">
      <c r="A327">
        <v>216</v>
      </c>
      <c r="B327" t="str">
        <f t="shared" si="10"/>
        <v>216 - pingüino de Humboldt</v>
      </c>
      <c r="C327" t="str">
        <f t="shared" si="11"/>
        <v>pingüino de Humboldt</v>
      </c>
      <c r="D327" s="1" t="s">
        <v>542</v>
      </c>
      <c r="E327" t="s">
        <v>543</v>
      </c>
      <c r="F327" t="s">
        <v>38</v>
      </c>
      <c r="G327" t="s">
        <v>243</v>
      </c>
      <c r="H327" t="s">
        <v>643</v>
      </c>
      <c r="I327" t="s">
        <v>182</v>
      </c>
      <c r="J327" t="s">
        <v>644</v>
      </c>
      <c r="K327">
        <v>1</v>
      </c>
      <c r="L327">
        <v>1</v>
      </c>
      <c r="M327" t="s">
        <v>59</v>
      </c>
      <c r="N327">
        <v>1</v>
      </c>
      <c r="O327" t="s">
        <v>60</v>
      </c>
      <c r="P327">
        <v>1</v>
      </c>
      <c r="Q327" t="s">
        <v>694</v>
      </c>
    </row>
    <row r="328" spans="1:17" ht="14.5" customHeight="1">
      <c r="A328">
        <v>216</v>
      </c>
      <c r="B328" t="str">
        <f t="shared" si="10"/>
        <v>216 - pingüino de Humboldt</v>
      </c>
      <c r="C328" t="str">
        <f t="shared" si="11"/>
        <v>pingüino de Humboldt</v>
      </c>
      <c r="D328" s="1" t="s">
        <v>542</v>
      </c>
      <c r="E328" t="s">
        <v>543</v>
      </c>
      <c r="F328" t="s">
        <v>38</v>
      </c>
      <c r="G328" t="s">
        <v>243</v>
      </c>
      <c r="H328" t="s">
        <v>645</v>
      </c>
      <c r="I328" t="s">
        <v>646</v>
      </c>
      <c r="J328" t="s">
        <v>647</v>
      </c>
      <c r="K328">
        <v>1</v>
      </c>
      <c r="L328">
        <v>1</v>
      </c>
      <c r="M328" t="s">
        <v>59</v>
      </c>
      <c r="N328">
        <v>1</v>
      </c>
      <c r="O328" t="s">
        <v>528</v>
      </c>
      <c r="P328">
        <v>1</v>
      </c>
      <c r="Q328" t="s">
        <v>694</v>
      </c>
    </row>
    <row r="329" spans="1:17" ht="14.5" customHeight="1">
      <c r="A329">
        <v>216</v>
      </c>
      <c r="B329" t="str">
        <f t="shared" si="10"/>
        <v>216 - pingüino de Humboldt</v>
      </c>
      <c r="C329" t="str">
        <f t="shared" si="11"/>
        <v>pingüino de Humboldt</v>
      </c>
      <c r="D329" s="1" t="s">
        <v>542</v>
      </c>
      <c r="E329" t="s">
        <v>543</v>
      </c>
      <c r="F329" t="s">
        <v>38</v>
      </c>
      <c r="G329" t="s">
        <v>243</v>
      </c>
      <c r="H329" t="s">
        <v>643</v>
      </c>
      <c r="I329" t="s">
        <v>182</v>
      </c>
      <c r="J329" t="s">
        <v>644</v>
      </c>
      <c r="K329">
        <v>1</v>
      </c>
      <c r="L329">
        <v>1</v>
      </c>
      <c r="M329" t="s">
        <v>59</v>
      </c>
      <c r="N329">
        <v>1</v>
      </c>
      <c r="O329" t="s">
        <v>640</v>
      </c>
      <c r="P329">
        <v>1</v>
      </c>
      <c r="Q329" t="s">
        <v>694</v>
      </c>
    </row>
    <row r="330" spans="1:17" ht="14.5" customHeight="1">
      <c r="A330">
        <v>216</v>
      </c>
      <c r="B330" t="str">
        <f t="shared" si="10"/>
        <v>216 - pingüino de Humboldt</v>
      </c>
      <c r="C330" t="str">
        <f t="shared" si="11"/>
        <v>pingüino de Humboldt</v>
      </c>
      <c r="D330" s="1" t="s">
        <v>542</v>
      </c>
      <c r="E330" t="s">
        <v>543</v>
      </c>
      <c r="F330" t="s">
        <v>38</v>
      </c>
      <c r="G330" t="s">
        <v>243</v>
      </c>
      <c r="H330" t="s">
        <v>648</v>
      </c>
      <c r="I330" t="s">
        <v>649</v>
      </c>
      <c r="J330" t="s">
        <v>650</v>
      </c>
      <c r="K330">
        <v>1</v>
      </c>
      <c r="L330">
        <v>1</v>
      </c>
      <c r="M330" t="s">
        <v>59</v>
      </c>
      <c r="N330">
        <v>1</v>
      </c>
      <c r="O330" t="s">
        <v>528</v>
      </c>
      <c r="P330">
        <v>1</v>
      </c>
      <c r="Q330" t="s">
        <v>694</v>
      </c>
    </row>
    <row r="331" spans="1:17" ht="14.5" customHeight="1">
      <c r="A331">
        <v>216</v>
      </c>
      <c r="B331" t="str">
        <f t="shared" si="10"/>
        <v>216 - pingüino de Humboldt</v>
      </c>
      <c r="C331" t="str">
        <f t="shared" si="11"/>
        <v>pingüino de Humboldt</v>
      </c>
      <c r="D331" s="1" t="s">
        <v>542</v>
      </c>
      <c r="E331" t="s">
        <v>543</v>
      </c>
      <c r="F331" t="s">
        <v>38</v>
      </c>
      <c r="G331" t="s">
        <v>243</v>
      </c>
      <c r="H331" t="s">
        <v>651</v>
      </c>
      <c r="I331" t="s">
        <v>652</v>
      </c>
      <c r="J331" t="s">
        <v>653</v>
      </c>
      <c r="K331">
        <v>1</v>
      </c>
      <c r="L331">
        <v>1</v>
      </c>
      <c r="M331" t="s">
        <v>59</v>
      </c>
      <c r="N331">
        <v>1</v>
      </c>
      <c r="O331" t="s">
        <v>528</v>
      </c>
      <c r="P331">
        <v>1</v>
      </c>
      <c r="Q331" t="s">
        <v>694</v>
      </c>
    </row>
    <row r="332" spans="1:17" ht="14.5" customHeight="1">
      <c r="A332">
        <v>216</v>
      </c>
      <c r="B332" t="str">
        <f t="shared" si="10"/>
        <v>216 - pingüino de Humboldt</v>
      </c>
      <c r="C332" t="str">
        <f t="shared" si="11"/>
        <v>pingüino de Humboldt</v>
      </c>
      <c r="D332" s="1" t="s">
        <v>542</v>
      </c>
      <c r="E332" t="s">
        <v>543</v>
      </c>
      <c r="F332" t="s">
        <v>38</v>
      </c>
      <c r="G332" t="s">
        <v>243</v>
      </c>
      <c r="H332" t="s">
        <v>520</v>
      </c>
      <c r="I332" t="s">
        <v>521</v>
      </c>
      <c r="J332" t="s">
        <v>522</v>
      </c>
      <c r="K332">
        <v>1</v>
      </c>
      <c r="L332">
        <v>1</v>
      </c>
      <c r="M332" t="s">
        <v>59</v>
      </c>
      <c r="N332">
        <v>1</v>
      </c>
      <c r="O332" t="s">
        <v>523</v>
      </c>
      <c r="P332">
        <v>1</v>
      </c>
      <c r="Q332" t="s">
        <v>694</v>
      </c>
    </row>
    <row r="333" spans="1:17" ht="14.5" customHeight="1">
      <c r="A333">
        <v>216</v>
      </c>
      <c r="B333" t="str">
        <f t="shared" si="10"/>
        <v>216 - pingüino de Humboldt</v>
      </c>
      <c r="C333" t="str">
        <f t="shared" si="11"/>
        <v>pingüino de Humboldt</v>
      </c>
      <c r="D333" s="1" t="s">
        <v>542</v>
      </c>
      <c r="E333" t="s">
        <v>543</v>
      </c>
      <c r="F333" t="s">
        <v>38</v>
      </c>
      <c r="G333" t="s">
        <v>243</v>
      </c>
      <c r="H333" t="s">
        <v>654</v>
      </c>
      <c r="I333" t="s">
        <v>655</v>
      </c>
      <c r="J333" t="s">
        <v>656</v>
      </c>
      <c r="K333">
        <v>1</v>
      </c>
      <c r="L333">
        <v>1</v>
      </c>
      <c r="M333" t="s">
        <v>59</v>
      </c>
      <c r="N333">
        <v>1</v>
      </c>
      <c r="O333" t="s">
        <v>528</v>
      </c>
      <c r="P333">
        <v>1</v>
      </c>
      <c r="Q333" t="s">
        <v>694</v>
      </c>
    </row>
    <row r="334" spans="1:17" ht="14.5" customHeight="1">
      <c r="A334">
        <v>216</v>
      </c>
      <c r="B334" t="str">
        <f t="shared" si="10"/>
        <v>216 - pingüino de Humboldt</v>
      </c>
      <c r="C334" t="str">
        <f t="shared" si="11"/>
        <v>pingüino de Humboldt</v>
      </c>
      <c r="D334" s="1" t="s">
        <v>542</v>
      </c>
      <c r="E334" t="s">
        <v>543</v>
      </c>
      <c r="F334" t="s">
        <v>38</v>
      </c>
      <c r="G334" t="s">
        <v>243</v>
      </c>
      <c r="H334" t="s">
        <v>657</v>
      </c>
      <c r="I334" t="s">
        <v>658</v>
      </c>
      <c r="J334" t="s">
        <v>659</v>
      </c>
      <c r="K334">
        <v>1</v>
      </c>
      <c r="L334">
        <v>1</v>
      </c>
      <c r="M334" t="s">
        <v>59</v>
      </c>
      <c r="N334">
        <v>1</v>
      </c>
      <c r="O334" t="s">
        <v>528</v>
      </c>
      <c r="P334">
        <v>1</v>
      </c>
      <c r="Q334" t="s">
        <v>694</v>
      </c>
    </row>
    <row r="335" spans="1:17" ht="14.5" customHeight="1">
      <c r="A335">
        <v>216</v>
      </c>
      <c r="B335" t="str">
        <f t="shared" si="10"/>
        <v>216 - pingüino de Humboldt</v>
      </c>
      <c r="C335" t="str">
        <f t="shared" si="11"/>
        <v>pingüino de Humboldt</v>
      </c>
      <c r="D335" s="1" t="s">
        <v>542</v>
      </c>
      <c r="E335" t="s">
        <v>543</v>
      </c>
      <c r="F335" t="s">
        <v>38</v>
      </c>
      <c r="G335" t="s">
        <v>243</v>
      </c>
      <c r="H335" t="s">
        <v>660</v>
      </c>
      <c r="I335" t="s">
        <v>95</v>
      </c>
      <c r="J335" t="s">
        <v>661</v>
      </c>
      <c r="K335">
        <v>1</v>
      </c>
      <c r="L335">
        <v>1</v>
      </c>
      <c r="M335" t="s">
        <v>59</v>
      </c>
      <c r="N335">
        <v>1</v>
      </c>
      <c r="O335" t="s">
        <v>640</v>
      </c>
      <c r="P335">
        <v>1</v>
      </c>
      <c r="Q335" t="s">
        <v>694</v>
      </c>
    </row>
    <row r="336" spans="1:17" ht="14.5" customHeight="1">
      <c r="A336">
        <v>216</v>
      </c>
      <c r="B336" t="str">
        <f t="shared" si="10"/>
        <v>216 - pingüino de Humboldt</v>
      </c>
      <c r="C336" t="str">
        <f t="shared" si="11"/>
        <v>pingüino de Humboldt</v>
      </c>
      <c r="D336" s="1" t="s">
        <v>542</v>
      </c>
      <c r="E336" t="s">
        <v>543</v>
      </c>
      <c r="F336" t="s">
        <v>38</v>
      </c>
      <c r="G336" t="s">
        <v>243</v>
      </c>
      <c r="H336" t="s">
        <v>524</v>
      </c>
      <c r="I336" t="s">
        <v>95</v>
      </c>
      <c r="J336" t="s">
        <v>525</v>
      </c>
      <c r="K336">
        <v>1</v>
      </c>
      <c r="L336">
        <v>1</v>
      </c>
      <c r="M336" t="s">
        <v>59</v>
      </c>
      <c r="N336">
        <v>1</v>
      </c>
      <c r="O336" t="s">
        <v>523</v>
      </c>
      <c r="P336">
        <v>1</v>
      </c>
      <c r="Q336" t="s">
        <v>694</v>
      </c>
    </row>
    <row r="337" spans="1:17" ht="14.5" customHeight="1">
      <c r="A337">
        <v>216</v>
      </c>
      <c r="B337" t="str">
        <f t="shared" si="10"/>
        <v>216 - pingüino de Humboldt</v>
      </c>
      <c r="C337" t="str">
        <f t="shared" si="11"/>
        <v>pingüino de Humboldt</v>
      </c>
      <c r="D337" s="1" t="s">
        <v>542</v>
      </c>
      <c r="E337" t="s">
        <v>543</v>
      </c>
      <c r="F337" t="s">
        <v>38</v>
      </c>
      <c r="G337" t="s">
        <v>243</v>
      </c>
      <c r="H337" t="s">
        <v>526</v>
      </c>
      <c r="I337" t="s">
        <v>158</v>
      </c>
      <c r="J337" t="s">
        <v>527</v>
      </c>
      <c r="K337">
        <v>1</v>
      </c>
      <c r="L337">
        <v>1</v>
      </c>
      <c r="M337" t="s">
        <v>59</v>
      </c>
      <c r="N337">
        <v>1</v>
      </c>
      <c r="O337" t="s">
        <v>523</v>
      </c>
      <c r="P337">
        <v>1</v>
      </c>
      <c r="Q337" t="s">
        <v>694</v>
      </c>
    </row>
    <row r="338" spans="1:17" ht="14.5" customHeight="1">
      <c r="A338">
        <v>216</v>
      </c>
      <c r="B338" t="str">
        <f t="shared" si="10"/>
        <v>216 - pingüino de Humboldt</v>
      </c>
      <c r="C338" t="str">
        <f t="shared" si="11"/>
        <v>pingüino de Humboldt</v>
      </c>
      <c r="D338" s="1" t="s">
        <v>542</v>
      </c>
      <c r="E338" t="s">
        <v>543</v>
      </c>
      <c r="F338" t="s">
        <v>38</v>
      </c>
      <c r="G338" t="s">
        <v>243</v>
      </c>
      <c r="H338" t="s">
        <v>662</v>
      </c>
      <c r="I338" t="s">
        <v>663</v>
      </c>
      <c r="J338" t="s">
        <v>664</v>
      </c>
      <c r="K338">
        <v>1</v>
      </c>
      <c r="L338">
        <v>1</v>
      </c>
      <c r="M338" t="s">
        <v>59</v>
      </c>
      <c r="N338">
        <v>1</v>
      </c>
      <c r="O338" t="s">
        <v>528</v>
      </c>
      <c r="P338">
        <v>1</v>
      </c>
      <c r="Q338" t="s">
        <v>694</v>
      </c>
    </row>
    <row r="339" spans="1:17" ht="14.5" customHeight="1">
      <c r="A339">
        <v>216</v>
      </c>
      <c r="B339" t="str">
        <f t="shared" si="10"/>
        <v>216 - pingüino de Humboldt</v>
      </c>
      <c r="C339" t="str">
        <f t="shared" si="11"/>
        <v>pingüino de Humboldt</v>
      </c>
      <c r="D339" s="1" t="s">
        <v>542</v>
      </c>
      <c r="E339" t="s">
        <v>543</v>
      </c>
      <c r="F339" t="s">
        <v>38</v>
      </c>
      <c r="G339" t="s">
        <v>243</v>
      </c>
      <c r="H339" t="s">
        <v>665</v>
      </c>
      <c r="I339" t="s">
        <v>666</v>
      </c>
      <c r="J339" t="s">
        <v>667</v>
      </c>
      <c r="K339">
        <v>1</v>
      </c>
      <c r="L339">
        <v>1</v>
      </c>
      <c r="M339" t="s">
        <v>59</v>
      </c>
      <c r="N339">
        <v>1</v>
      </c>
      <c r="O339" t="s">
        <v>60</v>
      </c>
      <c r="P339">
        <v>1</v>
      </c>
      <c r="Q339" t="s">
        <v>694</v>
      </c>
    </row>
    <row r="340" spans="1:17" ht="14.5" customHeight="1">
      <c r="A340">
        <v>216</v>
      </c>
      <c r="B340" t="str">
        <f t="shared" si="10"/>
        <v>216 - pingüino de Humboldt</v>
      </c>
      <c r="C340" t="str">
        <f t="shared" si="11"/>
        <v>pingüino de Humboldt</v>
      </c>
      <c r="D340" s="1" t="s">
        <v>542</v>
      </c>
      <c r="E340" t="s">
        <v>543</v>
      </c>
      <c r="F340" t="s">
        <v>38</v>
      </c>
      <c r="G340" t="s">
        <v>243</v>
      </c>
      <c r="H340" t="s">
        <v>529</v>
      </c>
      <c r="I340" t="s">
        <v>530</v>
      </c>
      <c r="J340" t="s">
        <v>531</v>
      </c>
      <c r="K340">
        <v>1</v>
      </c>
      <c r="L340">
        <v>1</v>
      </c>
      <c r="M340" t="s">
        <v>59</v>
      </c>
      <c r="N340">
        <v>1</v>
      </c>
      <c r="O340" t="s">
        <v>523</v>
      </c>
      <c r="P340">
        <v>1</v>
      </c>
      <c r="Q340" t="s">
        <v>694</v>
      </c>
    </row>
    <row r="341" spans="1:17" ht="14.5" customHeight="1">
      <c r="A341">
        <v>216</v>
      </c>
      <c r="B341" t="str">
        <f t="shared" si="10"/>
        <v>216 - pingüino de Humboldt</v>
      </c>
      <c r="C341" t="str">
        <f t="shared" si="11"/>
        <v>pingüino de Humboldt</v>
      </c>
      <c r="D341" s="1" t="s">
        <v>542</v>
      </c>
      <c r="E341" t="s">
        <v>543</v>
      </c>
      <c r="F341" t="s">
        <v>38</v>
      </c>
      <c r="G341" t="s">
        <v>243</v>
      </c>
      <c r="H341" t="s">
        <v>56</v>
      </c>
      <c r="I341" t="s">
        <v>57</v>
      </c>
      <c r="J341" t="s">
        <v>58</v>
      </c>
      <c r="K341">
        <v>1</v>
      </c>
      <c r="L341">
        <v>1</v>
      </c>
      <c r="M341" t="s">
        <v>149</v>
      </c>
      <c r="N341">
        <v>1</v>
      </c>
      <c r="O341" t="s">
        <v>150</v>
      </c>
      <c r="P341">
        <v>1</v>
      </c>
      <c r="Q341" t="s">
        <v>694</v>
      </c>
    </row>
    <row r="342" spans="1:17" ht="14.5" customHeight="1">
      <c r="A342">
        <v>216</v>
      </c>
      <c r="B342" t="str">
        <f t="shared" si="10"/>
        <v>216 - pingüino de Humboldt</v>
      </c>
      <c r="C342" t="str">
        <f t="shared" si="11"/>
        <v>pingüino de Humboldt</v>
      </c>
      <c r="D342" s="1" t="s">
        <v>542</v>
      </c>
      <c r="E342" t="s">
        <v>543</v>
      </c>
      <c r="F342" t="s">
        <v>38</v>
      </c>
      <c r="G342" t="s">
        <v>243</v>
      </c>
      <c r="H342" t="s">
        <v>668</v>
      </c>
      <c r="I342" t="s">
        <v>669</v>
      </c>
      <c r="J342" t="s">
        <v>670</v>
      </c>
      <c r="K342">
        <v>1</v>
      </c>
      <c r="L342">
        <v>1</v>
      </c>
      <c r="M342" t="s">
        <v>149</v>
      </c>
      <c r="N342">
        <v>1</v>
      </c>
      <c r="O342" t="s">
        <v>171</v>
      </c>
      <c r="P342">
        <v>1</v>
      </c>
      <c r="Q342" t="s">
        <v>694</v>
      </c>
    </row>
    <row r="343" spans="1:17" ht="14.5" customHeight="1">
      <c r="A343">
        <v>216</v>
      </c>
      <c r="B343" t="str">
        <f t="shared" si="10"/>
        <v>216 - pingüino de Humboldt</v>
      </c>
      <c r="C343" t="str">
        <f t="shared" si="11"/>
        <v>pingüino de Humboldt</v>
      </c>
      <c r="D343" s="1" t="s">
        <v>542</v>
      </c>
      <c r="E343" t="s">
        <v>543</v>
      </c>
      <c r="F343" t="s">
        <v>38</v>
      </c>
      <c r="G343" t="s">
        <v>243</v>
      </c>
      <c r="H343" t="s">
        <v>671</v>
      </c>
      <c r="I343" t="s">
        <v>672</v>
      </c>
      <c r="J343" t="s">
        <v>673</v>
      </c>
      <c r="K343">
        <v>1</v>
      </c>
      <c r="L343">
        <v>1</v>
      </c>
      <c r="M343" t="s">
        <v>149</v>
      </c>
      <c r="N343">
        <v>1</v>
      </c>
      <c r="O343" t="s">
        <v>504</v>
      </c>
      <c r="P343">
        <v>1</v>
      </c>
      <c r="Q343" t="s">
        <v>694</v>
      </c>
    </row>
    <row r="344" spans="1:17" ht="14.5" customHeight="1">
      <c r="A344">
        <v>216</v>
      </c>
      <c r="B344" t="str">
        <f t="shared" si="10"/>
        <v>216 - pingüino de Humboldt</v>
      </c>
      <c r="C344" t="str">
        <f t="shared" si="11"/>
        <v>pingüino de Humboldt</v>
      </c>
      <c r="D344" s="1" t="s">
        <v>542</v>
      </c>
      <c r="E344" t="s">
        <v>543</v>
      </c>
      <c r="F344" t="s">
        <v>38</v>
      </c>
      <c r="G344" t="s">
        <v>243</v>
      </c>
      <c r="H344" t="s">
        <v>674</v>
      </c>
      <c r="I344" t="s">
        <v>675</v>
      </c>
      <c r="J344" t="s">
        <v>676</v>
      </c>
      <c r="K344">
        <v>1</v>
      </c>
      <c r="L344">
        <v>1</v>
      </c>
      <c r="M344" t="s">
        <v>149</v>
      </c>
      <c r="N344">
        <v>1</v>
      </c>
      <c r="O344" t="s">
        <v>504</v>
      </c>
      <c r="P344">
        <v>1</v>
      </c>
      <c r="Q344" t="s">
        <v>694</v>
      </c>
    </row>
    <row r="345" spans="1:17" ht="14.5" customHeight="1">
      <c r="A345">
        <v>216</v>
      </c>
      <c r="B345" t="str">
        <f t="shared" si="10"/>
        <v>216 - pingüino de Humboldt</v>
      </c>
      <c r="C345" t="str">
        <f t="shared" si="11"/>
        <v>pingüino de Humboldt</v>
      </c>
      <c r="D345" s="1" t="s">
        <v>542</v>
      </c>
      <c r="E345" t="s">
        <v>543</v>
      </c>
      <c r="F345" t="s">
        <v>38</v>
      </c>
      <c r="G345" t="s">
        <v>243</v>
      </c>
      <c r="H345" t="s">
        <v>677</v>
      </c>
      <c r="I345" t="s">
        <v>678</v>
      </c>
      <c r="J345" t="s">
        <v>679</v>
      </c>
      <c r="K345">
        <v>1</v>
      </c>
      <c r="L345">
        <v>1</v>
      </c>
      <c r="M345" t="s">
        <v>149</v>
      </c>
      <c r="N345">
        <v>1</v>
      </c>
      <c r="O345" t="s">
        <v>150</v>
      </c>
      <c r="P345">
        <v>1</v>
      </c>
      <c r="Q345" t="s">
        <v>694</v>
      </c>
    </row>
    <row r="346" spans="1:17" ht="14.5" customHeight="1">
      <c r="A346">
        <v>216</v>
      </c>
      <c r="B346" t="str">
        <f t="shared" si="10"/>
        <v>216 - pingüino de Humboldt</v>
      </c>
      <c r="C346" t="str">
        <f t="shared" si="11"/>
        <v>pingüino de Humboldt</v>
      </c>
      <c r="D346" s="1" t="s">
        <v>542</v>
      </c>
      <c r="E346" t="s">
        <v>543</v>
      </c>
      <c r="F346" t="s">
        <v>38</v>
      </c>
      <c r="G346" t="s">
        <v>243</v>
      </c>
      <c r="H346" t="s">
        <v>680</v>
      </c>
      <c r="I346" t="s">
        <v>681</v>
      </c>
      <c r="J346" t="s">
        <v>682</v>
      </c>
      <c r="K346">
        <v>1</v>
      </c>
      <c r="L346">
        <v>1</v>
      </c>
      <c r="M346" t="s">
        <v>149</v>
      </c>
      <c r="N346">
        <v>1</v>
      </c>
      <c r="O346" t="s">
        <v>150</v>
      </c>
      <c r="P346">
        <v>1</v>
      </c>
      <c r="Q346" t="s">
        <v>694</v>
      </c>
    </row>
    <row r="347" spans="1:17" ht="14.5" customHeight="1">
      <c r="A347">
        <v>216</v>
      </c>
      <c r="B347" t="str">
        <f t="shared" si="10"/>
        <v>216 - pingüino de Humboldt</v>
      </c>
      <c r="C347" t="str">
        <f t="shared" si="11"/>
        <v>pingüino de Humboldt</v>
      </c>
      <c r="D347" s="1" t="s">
        <v>542</v>
      </c>
      <c r="E347" t="s">
        <v>543</v>
      </c>
      <c r="F347" t="s">
        <v>38</v>
      </c>
      <c r="G347" t="s">
        <v>243</v>
      </c>
      <c r="H347" t="s">
        <v>683</v>
      </c>
      <c r="I347" t="s">
        <v>684</v>
      </c>
      <c r="J347" t="s">
        <v>685</v>
      </c>
      <c r="K347">
        <v>1</v>
      </c>
      <c r="L347">
        <v>1</v>
      </c>
      <c r="M347" t="s">
        <v>149</v>
      </c>
      <c r="N347">
        <v>1</v>
      </c>
      <c r="O347" t="s">
        <v>504</v>
      </c>
      <c r="P347">
        <v>1</v>
      </c>
      <c r="Q347" t="s">
        <v>694</v>
      </c>
    </row>
    <row r="348" spans="1:17" ht="14.5" customHeight="1">
      <c r="A348">
        <v>216</v>
      </c>
      <c r="B348" t="str">
        <f t="shared" si="10"/>
        <v>216 - pingüino de Humboldt</v>
      </c>
      <c r="C348" t="str">
        <f t="shared" si="11"/>
        <v>pingüino de Humboldt</v>
      </c>
      <c r="D348" s="1" t="s">
        <v>542</v>
      </c>
      <c r="E348" t="s">
        <v>543</v>
      </c>
      <c r="F348" t="s">
        <v>38</v>
      </c>
      <c r="G348" t="s">
        <v>243</v>
      </c>
      <c r="H348" t="s">
        <v>686</v>
      </c>
      <c r="I348" t="s">
        <v>624</v>
      </c>
      <c r="J348" t="s">
        <v>687</v>
      </c>
      <c r="K348">
        <v>1</v>
      </c>
      <c r="L348">
        <v>1</v>
      </c>
      <c r="M348" t="s">
        <v>149</v>
      </c>
      <c r="N348">
        <v>1</v>
      </c>
      <c r="O348" t="s">
        <v>150</v>
      </c>
      <c r="P348">
        <v>1</v>
      </c>
      <c r="Q348" t="s">
        <v>694</v>
      </c>
    </row>
    <row r="349" spans="1:17" ht="14.5" customHeight="1">
      <c r="A349">
        <v>216</v>
      </c>
      <c r="B349" t="str">
        <f t="shared" si="10"/>
        <v>216 - pingüino de Humboldt</v>
      </c>
      <c r="C349" t="str">
        <f t="shared" si="11"/>
        <v>pingüino de Humboldt</v>
      </c>
      <c r="D349" s="1" t="s">
        <v>542</v>
      </c>
      <c r="E349" t="s">
        <v>543</v>
      </c>
      <c r="F349" t="s">
        <v>38</v>
      </c>
      <c r="G349" t="s">
        <v>243</v>
      </c>
      <c r="H349" t="s">
        <v>168</v>
      </c>
      <c r="I349" t="s">
        <v>169</v>
      </c>
      <c r="J349" t="s">
        <v>170</v>
      </c>
      <c r="K349">
        <v>1</v>
      </c>
      <c r="L349">
        <v>1</v>
      </c>
      <c r="M349" t="s">
        <v>149</v>
      </c>
      <c r="N349">
        <v>1</v>
      </c>
      <c r="O349" t="s">
        <v>171</v>
      </c>
      <c r="P349">
        <v>0</v>
      </c>
      <c r="Q349" t="s">
        <v>694</v>
      </c>
    </row>
    <row r="350" spans="1:17" ht="14.5" customHeight="1">
      <c r="A350">
        <v>216</v>
      </c>
      <c r="B350" t="str">
        <f t="shared" si="10"/>
        <v>216 - pingüino de Humboldt</v>
      </c>
      <c r="C350" t="str">
        <f t="shared" si="11"/>
        <v>pingüino de Humboldt</v>
      </c>
      <c r="D350" s="1" t="s">
        <v>542</v>
      </c>
      <c r="E350" t="s">
        <v>543</v>
      </c>
      <c r="F350" t="s">
        <v>38</v>
      </c>
      <c r="G350" t="s">
        <v>243</v>
      </c>
      <c r="H350" t="s">
        <v>688</v>
      </c>
      <c r="I350" t="s">
        <v>187</v>
      </c>
      <c r="J350" t="s">
        <v>689</v>
      </c>
      <c r="K350">
        <v>1</v>
      </c>
      <c r="L350">
        <v>1</v>
      </c>
      <c r="M350" t="s">
        <v>149</v>
      </c>
      <c r="N350">
        <v>1</v>
      </c>
      <c r="O350" t="s">
        <v>504</v>
      </c>
      <c r="P350">
        <v>1</v>
      </c>
      <c r="Q350" t="s">
        <v>694</v>
      </c>
    </row>
    <row r="351" spans="1:17" ht="14.5" customHeight="1">
      <c r="A351">
        <v>216</v>
      </c>
      <c r="B351" t="str">
        <f t="shared" si="10"/>
        <v>216 - pingüino de Humboldt</v>
      </c>
      <c r="C351" t="str">
        <f t="shared" si="11"/>
        <v>pingüino de Humboldt</v>
      </c>
      <c r="D351" s="1" t="s">
        <v>542</v>
      </c>
      <c r="E351" t="s">
        <v>543</v>
      </c>
      <c r="F351" t="s">
        <v>38</v>
      </c>
      <c r="G351" t="s">
        <v>243</v>
      </c>
      <c r="H351" t="s">
        <v>532</v>
      </c>
      <c r="I351" t="s">
        <v>518</v>
      </c>
      <c r="J351" t="s">
        <v>533</v>
      </c>
      <c r="K351">
        <v>1</v>
      </c>
      <c r="L351">
        <v>1</v>
      </c>
      <c r="M351" t="s">
        <v>149</v>
      </c>
      <c r="N351">
        <v>1</v>
      </c>
      <c r="O351" t="s">
        <v>171</v>
      </c>
      <c r="P351">
        <v>1</v>
      </c>
      <c r="Q351" t="s">
        <v>694</v>
      </c>
    </row>
    <row r="352" spans="1:17" ht="14.5" customHeight="1">
      <c r="A352">
        <v>216</v>
      </c>
      <c r="B352" t="str">
        <f t="shared" si="10"/>
        <v>216 - pingüino de Humboldt</v>
      </c>
      <c r="C352" t="str">
        <f t="shared" si="11"/>
        <v>pingüino de Humboldt</v>
      </c>
      <c r="D352" s="1" t="s">
        <v>542</v>
      </c>
      <c r="E352" t="s">
        <v>543</v>
      </c>
      <c r="F352" t="s">
        <v>38</v>
      </c>
      <c r="G352" t="s">
        <v>243</v>
      </c>
      <c r="H352" t="s">
        <v>690</v>
      </c>
      <c r="I352" t="s">
        <v>57</v>
      </c>
      <c r="J352" t="s">
        <v>691</v>
      </c>
      <c r="K352">
        <v>1</v>
      </c>
      <c r="L352">
        <v>1</v>
      </c>
      <c r="M352" t="s">
        <v>149</v>
      </c>
      <c r="N352">
        <v>1</v>
      </c>
      <c r="O352" t="s">
        <v>504</v>
      </c>
      <c r="P352">
        <v>1</v>
      </c>
      <c r="Q352" t="s">
        <v>694</v>
      </c>
    </row>
    <row r="353" spans="3:3" ht="14.5" customHeight="1">
      <c r="C353" s="1"/>
    </row>
    <row r="354" spans="3:3" ht="14.5" customHeight="1">
      <c r="C354" s="1"/>
    </row>
    <row r="355" spans="3:3" ht="14.5" customHeight="1">
      <c r="C355" s="1"/>
    </row>
    <row r="356" spans="3:3" ht="14.5" customHeight="1">
      <c r="C356" s="1"/>
    </row>
    <row r="357" spans="3:3" ht="14.5" customHeight="1">
      <c r="C357" s="1"/>
    </row>
    <row r="358" spans="3:3" ht="14.5" customHeight="1">
      <c r="C358" s="1"/>
    </row>
    <row r="359" spans="3:3" ht="14.5" customHeight="1">
      <c r="C359" s="1"/>
    </row>
    <row r="360" spans="3:3" ht="14.5" customHeight="1">
      <c r="C360" s="1"/>
    </row>
    <row r="361" spans="3:3" ht="14.5" customHeight="1">
      <c r="C361" s="1"/>
    </row>
    <row r="362" spans="3:3" ht="14.5" customHeight="1">
      <c r="C362" s="1"/>
    </row>
    <row r="363" spans="3:3" ht="14.5" customHeight="1">
      <c r="C363" s="1"/>
    </row>
    <row r="364" spans="3:3" ht="14.5" customHeight="1">
      <c r="C364" s="1"/>
    </row>
    <row r="365" spans="3:3" ht="14.5" customHeight="1">
      <c r="C365" s="1"/>
    </row>
    <row r="366" spans="3:3" ht="14.5" customHeight="1">
      <c r="C366" s="1"/>
    </row>
    <row r="367" spans="3:3" ht="14.5" customHeight="1">
      <c r="C367" s="1"/>
    </row>
    <row r="368" spans="3:3" ht="14.5" customHeight="1">
      <c r="C368" s="1"/>
    </row>
    <row r="369" spans="3:3" ht="14.5" customHeight="1">
      <c r="C369" s="1"/>
    </row>
    <row r="370" spans="3:3" ht="14.5" customHeight="1">
      <c r="C370" s="1"/>
    </row>
    <row r="371" spans="3:3" ht="14.5" customHeight="1">
      <c r="C371" s="1"/>
    </row>
    <row r="372" spans="3:3" ht="14.5" customHeight="1">
      <c r="C372" s="1"/>
    </row>
    <row r="373" spans="3:3" ht="14.5" customHeight="1">
      <c r="C373" s="1"/>
    </row>
    <row r="374" spans="3:3" ht="14.5" customHeight="1">
      <c r="C374" s="1"/>
    </row>
    <row r="375" spans="3:3" ht="14.5" customHeight="1">
      <c r="C375" s="1"/>
    </row>
    <row r="376" spans="3:3" ht="14.5" customHeight="1">
      <c r="C376" s="1"/>
    </row>
    <row r="377" spans="3:3" ht="14.5" customHeight="1">
      <c r="C377" s="1"/>
    </row>
    <row r="378" spans="3:3" ht="14.5" customHeight="1">
      <c r="C378" s="1"/>
    </row>
    <row r="379" spans="3:3" ht="14.5" customHeight="1">
      <c r="C379" s="1"/>
    </row>
    <row r="380" spans="3:3" ht="14.5" customHeight="1">
      <c r="C380" s="1"/>
    </row>
    <row r="381" spans="3:3" ht="14.5" customHeight="1">
      <c r="C381" s="1"/>
    </row>
    <row r="382" spans="3:3" ht="14.5" customHeight="1">
      <c r="C382" s="1"/>
    </row>
    <row r="383" spans="3:3" ht="14.5" customHeight="1">
      <c r="C383" s="1"/>
    </row>
    <row r="384" spans="3:3" ht="14.5" customHeight="1">
      <c r="C384" s="1"/>
    </row>
    <row r="385" spans="3:3" ht="14.5" customHeight="1">
      <c r="C385" s="1"/>
    </row>
    <row r="386" spans="3:3" ht="14.5" customHeight="1">
      <c r="C386" s="1"/>
    </row>
    <row r="387" spans="3:3" ht="14.5" customHeight="1">
      <c r="C387" s="1"/>
    </row>
    <row r="388" spans="3:3" ht="14.5" customHeight="1">
      <c r="C388" s="1"/>
    </row>
    <row r="389" spans="3:3" ht="14.5" customHeight="1">
      <c r="C389" s="1"/>
    </row>
    <row r="390" spans="3:3" ht="14.5" customHeight="1">
      <c r="C390" s="1"/>
    </row>
    <row r="391" spans="3:3" ht="14.5" customHeight="1">
      <c r="C391" s="1"/>
    </row>
    <row r="392" spans="3:3" ht="14.5" customHeight="1">
      <c r="C392" s="1"/>
    </row>
    <row r="393" spans="3:3" ht="14.5" customHeight="1">
      <c r="C393" s="1"/>
    </row>
    <row r="394" spans="3:3" ht="14.5" customHeight="1">
      <c r="C394" s="1"/>
    </row>
    <row r="395" spans="3:3" ht="14.5" customHeight="1">
      <c r="C395" s="1"/>
    </row>
    <row r="396" spans="3:3" ht="14.5" customHeight="1">
      <c r="C396" s="1"/>
    </row>
    <row r="397" spans="3:3" ht="14.5" customHeight="1">
      <c r="C397" s="1"/>
    </row>
    <row r="398" spans="3:3" ht="14.5" customHeight="1">
      <c r="C398" s="1"/>
    </row>
    <row r="399" spans="3:3" ht="14.5" customHeight="1">
      <c r="C399" s="1"/>
    </row>
    <row r="400" spans="3:3" ht="14.5" customHeight="1">
      <c r="C400" s="1"/>
    </row>
    <row r="401" spans="3:3" ht="14.5" customHeight="1">
      <c r="C401" s="1"/>
    </row>
    <row r="402" spans="3:3" ht="14.5" customHeight="1">
      <c r="C402" s="1"/>
    </row>
    <row r="403" spans="3:3" ht="14.5" customHeight="1">
      <c r="C403" s="1"/>
    </row>
    <row r="404" spans="3:3" ht="14.5" customHeight="1">
      <c r="C404" s="1"/>
    </row>
    <row r="405" spans="3:3" ht="14.5" customHeight="1">
      <c r="C405" s="1"/>
    </row>
    <row r="406" spans="3:3" ht="14.5" customHeight="1">
      <c r="C406" s="1"/>
    </row>
    <row r="407" spans="3:3" ht="14.5" customHeight="1">
      <c r="C407" s="1"/>
    </row>
    <row r="408" spans="3:3" ht="14.5" customHeight="1">
      <c r="C408" s="1"/>
    </row>
    <row r="409" spans="3:3" ht="14.5" customHeight="1">
      <c r="C409" s="1"/>
    </row>
    <row r="410" spans="3:3" ht="14.5" customHeight="1">
      <c r="C410" s="1"/>
    </row>
    <row r="411" spans="3:3" ht="14.5" customHeight="1">
      <c r="C411" s="1"/>
    </row>
    <row r="412" spans="3:3" ht="14.5" customHeight="1">
      <c r="C412" s="1"/>
    </row>
    <row r="413" spans="3:3" ht="14.5" customHeight="1">
      <c r="C413" s="1"/>
    </row>
    <row r="414" spans="3:3" ht="14.5" customHeight="1">
      <c r="C414" s="1"/>
    </row>
    <row r="415" spans="3:3" ht="14.5" customHeight="1">
      <c r="C415" s="1"/>
    </row>
    <row r="416" spans="3:3" ht="14.5" customHeight="1">
      <c r="C416" s="1"/>
    </row>
    <row r="417" spans="3:3" ht="14.5" customHeight="1">
      <c r="C417" s="1"/>
    </row>
    <row r="418" spans="3:3" ht="14.5" customHeight="1">
      <c r="C418" s="1"/>
    </row>
    <row r="419" spans="3:3" ht="14.5" customHeight="1">
      <c r="C419" s="1"/>
    </row>
    <row r="420" spans="3:3" ht="14.5" customHeight="1">
      <c r="C420" s="1"/>
    </row>
    <row r="421" spans="3:3" ht="14.5" customHeight="1">
      <c r="C421" s="1"/>
    </row>
    <row r="422" spans="3:3" ht="14.5" customHeight="1">
      <c r="C422" s="1"/>
    </row>
    <row r="423" spans="3:3" ht="14.5" customHeight="1">
      <c r="C423" s="1"/>
    </row>
    <row r="424" spans="3:3" ht="14.5" customHeight="1">
      <c r="C424" s="1"/>
    </row>
    <row r="425" spans="3:3" ht="14.5" customHeight="1">
      <c r="C425" s="1"/>
    </row>
    <row r="426" spans="3:3" ht="14.5" customHeight="1">
      <c r="C426" s="1"/>
    </row>
    <row r="427" spans="3:3" ht="14.5" customHeight="1">
      <c r="C427" s="1"/>
    </row>
    <row r="428" spans="3:3" ht="14.5" customHeight="1">
      <c r="C428" s="1"/>
    </row>
    <row r="429" spans="3:3" ht="14.5" customHeight="1">
      <c r="C429" s="1"/>
    </row>
    <row r="430" spans="3:3" ht="14.5" customHeight="1">
      <c r="C430" s="1"/>
    </row>
    <row r="431" spans="3:3" ht="14.5" customHeight="1">
      <c r="C431" s="1"/>
    </row>
    <row r="432" spans="3:3" ht="14.5" customHeight="1">
      <c r="C432" s="1"/>
    </row>
    <row r="433" spans="3:3" ht="14.5" customHeight="1">
      <c r="C433" s="1"/>
    </row>
    <row r="434" spans="3:3" ht="14.5" customHeight="1">
      <c r="C434" s="1"/>
    </row>
    <row r="435" spans="3:3" ht="14.5" customHeight="1">
      <c r="C435" s="1"/>
    </row>
    <row r="436" spans="3:3" ht="14.5" customHeight="1">
      <c r="C436" s="1"/>
    </row>
    <row r="437" spans="3:3" ht="14.5" customHeight="1">
      <c r="C437" s="1"/>
    </row>
    <row r="438" spans="3:3" ht="14.5" customHeight="1">
      <c r="C438" s="1"/>
    </row>
    <row r="439" spans="3:3" ht="14.5" customHeight="1">
      <c r="C439" s="1"/>
    </row>
    <row r="440" spans="3:3" ht="14.5" customHeight="1">
      <c r="C440" s="1"/>
    </row>
    <row r="441" spans="3:3" ht="14.5" customHeight="1">
      <c r="C441" s="1"/>
    </row>
    <row r="442" spans="3:3" ht="14.5" customHeight="1">
      <c r="C442" s="1"/>
    </row>
    <row r="443" spans="3:3" ht="14.5" customHeight="1">
      <c r="C443" s="1"/>
    </row>
    <row r="444" spans="3:3" ht="14.5" customHeight="1">
      <c r="C444" s="1"/>
    </row>
    <row r="445" spans="3:3" ht="14.5" customHeight="1">
      <c r="C445" s="1"/>
    </row>
    <row r="446" spans="3:3" ht="14.5" customHeight="1">
      <c r="C446" s="1"/>
    </row>
    <row r="447" spans="3:3" ht="14.5" customHeight="1">
      <c r="C447" s="1"/>
    </row>
    <row r="448" spans="3:3" ht="14.5" customHeight="1">
      <c r="C448" s="1"/>
    </row>
    <row r="449" spans="3:3" ht="14.5" customHeight="1">
      <c r="C449" s="1"/>
    </row>
    <row r="450" spans="3:3" ht="14.5" customHeight="1">
      <c r="C450" s="1"/>
    </row>
    <row r="451" spans="3:3" ht="14.5" customHeight="1">
      <c r="C451" s="1"/>
    </row>
    <row r="452" spans="3:3" ht="14.5" customHeight="1">
      <c r="C452" s="1"/>
    </row>
    <row r="453" spans="3:3" ht="14.5" customHeight="1">
      <c r="C453" s="1"/>
    </row>
    <row r="454" spans="3:3" ht="14.5" customHeight="1">
      <c r="C454" s="1"/>
    </row>
    <row r="455" spans="3:3" ht="14.5" customHeight="1">
      <c r="C455" s="1"/>
    </row>
    <row r="456" spans="3:3" ht="14.5" customHeight="1">
      <c r="C456" s="1"/>
    </row>
    <row r="457" spans="3:3" ht="14.5" customHeight="1">
      <c r="C457" s="1"/>
    </row>
    <row r="458" spans="3:3" ht="14.5" customHeight="1">
      <c r="C458" s="1"/>
    </row>
    <row r="459" spans="3:3" ht="14.5" customHeight="1">
      <c r="C459" s="1"/>
    </row>
    <row r="460" spans="3:3" ht="14.5" customHeight="1">
      <c r="C460" s="1"/>
    </row>
    <row r="461" spans="3:3" ht="14.5" customHeight="1">
      <c r="C461" s="1"/>
    </row>
    <row r="462" spans="3:3" ht="14.5" customHeight="1">
      <c r="C462" s="1"/>
    </row>
    <row r="463" spans="3:3" ht="14.5" customHeight="1">
      <c r="C463" s="1"/>
    </row>
    <row r="464" spans="3:3" ht="14.5" customHeight="1">
      <c r="C464" s="1"/>
    </row>
    <row r="465" spans="3:3" ht="14.5" customHeight="1">
      <c r="C465" s="1"/>
    </row>
    <row r="466" spans="3:3" ht="14.5" customHeight="1">
      <c r="C466" s="1"/>
    </row>
    <row r="467" spans="3:3" ht="14.5" customHeight="1">
      <c r="C467" s="1"/>
    </row>
    <row r="468" spans="3:3" ht="14.5" customHeight="1">
      <c r="C468" s="1"/>
    </row>
    <row r="469" spans="3:3" ht="14.5" customHeight="1">
      <c r="C469" s="1"/>
    </row>
    <row r="470" spans="3:3" ht="14.5" customHeight="1">
      <c r="C470" s="1"/>
    </row>
    <row r="471" spans="3:3" ht="14.5" customHeight="1">
      <c r="C471" s="1"/>
    </row>
    <row r="472" spans="3:3" ht="14.5" customHeight="1">
      <c r="C472" s="1"/>
    </row>
    <row r="473" spans="3:3" ht="14.5" customHeight="1">
      <c r="C473" s="1"/>
    </row>
    <row r="474" spans="3:3" ht="14.5" customHeight="1">
      <c r="C474" s="1"/>
    </row>
    <row r="475" spans="3:3" ht="14.5" customHeight="1">
      <c r="C475" s="1"/>
    </row>
    <row r="476" spans="3:3" ht="14.5" customHeight="1">
      <c r="C476" s="1"/>
    </row>
    <row r="477" spans="3:3" ht="14.5" customHeight="1">
      <c r="C477" s="1"/>
    </row>
    <row r="478" spans="3:3" ht="14.5" customHeight="1">
      <c r="C478" s="1"/>
    </row>
    <row r="479" spans="3:3" ht="14.5" customHeight="1">
      <c r="C479" s="1"/>
    </row>
    <row r="480" spans="3:3" ht="14.5" customHeight="1">
      <c r="C480" s="1"/>
    </row>
    <row r="481" spans="3:3" ht="14.5" customHeight="1">
      <c r="C481" s="1"/>
    </row>
    <row r="482" spans="3:3" ht="14.5" customHeight="1">
      <c r="C482" s="1"/>
    </row>
    <row r="483" spans="3:3" ht="14.5" customHeight="1">
      <c r="C483" s="1"/>
    </row>
    <row r="484" spans="3:3" ht="14.5" customHeight="1">
      <c r="C484" s="1"/>
    </row>
    <row r="485" spans="3:3" ht="14.5" customHeight="1">
      <c r="C485" s="1"/>
    </row>
    <row r="486" spans="3:3" ht="14.5" customHeight="1">
      <c r="C486" s="1"/>
    </row>
    <row r="487" spans="3:3" ht="14.5" customHeight="1">
      <c r="C487" s="1"/>
    </row>
    <row r="488" spans="3:3" ht="14.5" customHeight="1">
      <c r="C488" s="1"/>
    </row>
    <row r="489" spans="3:3" ht="14.5" customHeight="1">
      <c r="C489" s="1"/>
    </row>
    <row r="490" spans="3:3" ht="14.5" customHeight="1">
      <c r="C490" s="1"/>
    </row>
    <row r="491" spans="3:3" ht="14.5" customHeight="1">
      <c r="C491" s="1"/>
    </row>
    <row r="492" spans="3:3" ht="14.5" customHeight="1">
      <c r="C492" s="1"/>
    </row>
    <row r="493" spans="3:3" ht="14.5" customHeight="1">
      <c r="C493" s="1"/>
    </row>
    <row r="494" spans="3:3" ht="14.5" customHeight="1">
      <c r="C494" s="1"/>
    </row>
    <row r="495" spans="3:3" ht="14.5" customHeight="1">
      <c r="C495" s="1"/>
    </row>
    <row r="496" spans="3:3" ht="14.5" customHeight="1">
      <c r="C496" s="1"/>
    </row>
    <row r="497" spans="3:3" ht="14.5" customHeight="1">
      <c r="C497" s="1"/>
    </row>
    <row r="498" spans="3:3" ht="14.5" customHeight="1">
      <c r="C498" s="1"/>
    </row>
    <row r="499" spans="3:3" ht="14.5" customHeight="1">
      <c r="C499" s="1"/>
    </row>
    <row r="500" spans="3:3" ht="14.5" customHeight="1">
      <c r="C500" s="1"/>
    </row>
    <row r="501" spans="3:3" ht="14.5" customHeight="1">
      <c r="C501" s="1"/>
    </row>
    <row r="502" spans="3:3" ht="14.5" customHeight="1">
      <c r="C502" s="1"/>
    </row>
    <row r="503" spans="3:3" ht="14.5" customHeight="1">
      <c r="C503" s="1"/>
    </row>
    <row r="504" spans="3:3" ht="14.5" customHeight="1">
      <c r="C504" s="1"/>
    </row>
    <row r="505" spans="3:3" ht="14.5" customHeight="1">
      <c r="C505" s="1"/>
    </row>
    <row r="506" spans="3:3" ht="14.5" customHeight="1">
      <c r="C506" s="1"/>
    </row>
    <row r="507" spans="3:3" ht="14.5" customHeight="1">
      <c r="C507" s="1"/>
    </row>
    <row r="508" spans="3:3" ht="14.5" customHeight="1">
      <c r="C508" s="1"/>
    </row>
    <row r="509" spans="3:3" ht="14.5" customHeight="1">
      <c r="C509" s="1"/>
    </row>
    <row r="510" spans="3:3" ht="14.5" customHeight="1">
      <c r="C510" s="1"/>
    </row>
    <row r="511" spans="3:3" ht="14.5" customHeight="1">
      <c r="C511" s="1"/>
    </row>
    <row r="512" spans="3:3" ht="14.5" customHeight="1">
      <c r="C512" s="1"/>
    </row>
    <row r="513" spans="3:3" ht="14.5" customHeight="1">
      <c r="C513" s="1"/>
    </row>
    <row r="514" spans="3:3" ht="14.5" customHeight="1">
      <c r="C514" s="1"/>
    </row>
    <row r="515" spans="3:3" ht="14.5" customHeight="1">
      <c r="C515" s="1"/>
    </row>
    <row r="516" spans="3:3" ht="14.5" customHeight="1">
      <c r="C516" s="1"/>
    </row>
    <row r="517" spans="3:3" ht="14.5" customHeight="1">
      <c r="C517" s="1"/>
    </row>
    <row r="518" spans="3:3" ht="14.5" customHeight="1">
      <c r="C518" s="1"/>
    </row>
    <row r="519" spans="3:3" ht="14.5" customHeight="1">
      <c r="C519" s="1"/>
    </row>
    <row r="520" spans="3:3" ht="14.5" customHeight="1">
      <c r="C520" s="1"/>
    </row>
    <row r="521" spans="3:3" ht="14.5" customHeight="1">
      <c r="C521" s="1"/>
    </row>
    <row r="522" spans="3:3" ht="14.5" customHeight="1">
      <c r="C522" s="1"/>
    </row>
    <row r="523" spans="3:3" ht="14.5" customHeight="1">
      <c r="C523" s="1"/>
    </row>
    <row r="524" spans="3:3" ht="14.5" customHeight="1">
      <c r="C524" s="1"/>
    </row>
    <row r="525" spans="3:3" ht="14.5" customHeight="1">
      <c r="C525" s="1"/>
    </row>
    <row r="526" spans="3:3" ht="14.5" customHeight="1">
      <c r="C526" s="1"/>
    </row>
    <row r="527" spans="3:3" ht="14.5" customHeight="1">
      <c r="C527" s="1"/>
    </row>
    <row r="528" spans="3:3" ht="14.5" customHeight="1">
      <c r="C528" s="1"/>
    </row>
    <row r="529" spans="3:3" ht="14.5" customHeight="1">
      <c r="C529" s="1"/>
    </row>
    <row r="530" spans="3:3" ht="14.5" customHeight="1">
      <c r="C530" s="1"/>
    </row>
    <row r="531" spans="3:3" ht="14.5" customHeight="1">
      <c r="C531" s="1"/>
    </row>
    <row r="532" spans="3:3" ht="14.5" customHeight="1">
      <c r="C532" s="1"/>
    </row>
    <row r="533" spans="3:3" ht="14.5" customHeight="1">
      <c r="C533" s="1"/>
    </row>
    <row r="534" spans="3:3" ht="14.5" customHeight="1">
      <c r="C534" s="1"/>
    </row>
    <row r="535" spans="3:3" ht="14.5" customHeight="1">
      <c r="C535" s="1"/>
    </row>
    <row r="536" spans="3:3" ht="14.5" customHeight="1">
      <c r="C536" s="1"/>
    </row>
    <row r="537" spans="3:3" ht="14.5" customHeight="1">
      <c r="C537" s="1"/>
    </row>
    <row r="538" spans="3:3" ht="14.5" customHeight="1">
      <c r="C538" s="1"/>
    </row>
    <row r="539" spans="3:3" ht="14.5" customHeight="1">
      <c r="C539" s="1"/>
    </row>
    <row r="540" spans="3:3" ht="14.5" customHeight="1">
      <c r="C540" s="1"/>
    </row>
    <row r="541" spans="3:3" ht="14.5" customHeight="1">
      <c r="C541" s="1"/>
    </row>
    <row r="542" spans="3:3" ht="14.5" customHeight="1">
      <c r="C542" s="1"/>
    </row>
    <row r="543" spans="3:3" ht="14.5" customHeight="1">
      <c r="C543" s="1"/>
    </row>
    <row r="544" spans="3:3" ht="14.5" customHeight="1">
      <c r="C544" s="1"/>
    </row>
    <row r="545" spans="3:3" ht="14.5" customHeight="1">
      <c r="C545" s="1"/>
    </row>
    <row r="546" spans="3:3" ht="14.5" customHeight="1">
      <c r="C546" s="1"/>
    </row>
    <row r="547" spans="3:3" ht="14.5" customHeight="1">
      <c r="C547" s="1"/>
    </row>
    <row r="548" spans="3:3" ht="14.5" customHeight="1">
      <c r="C548" s="1"/>
    </row>
    <row r="549" spans="3:3" ht="14.5" customHeight="1">
      <c r="C549" s="1"/>
    </row>
    <row r="550" spans="3:3" ht="14.5" customHeight="1">
      <c r="C550" s="1"/>
    </row>
    <row r="551" spans="3:3" ht="14.5" customHeight="1">
      <c r="C551" s="1"/>
    </row>
    <row r="552" spans="3:3" ht="14.5" customHeight="1">
      <c r="C552" s="1"/>
    </row>
    <row r="553" spans="3:3" ht="14.5" customHeight="1">
      <c r="C553" s="1"/>
    </row>
    <row r="554" spans="3:3" ht="14.5" customHeight="1">
      <c r="C554" s="1"/>
    </row>
    <row r="555" spans="3:3" ht="14.5" customHeight="1">
      <c r="C555" s="1"/>
    </row>
    <row r="556" spans="3:3" ht="14.5" customHeight="1">
      <c r="C556" s="1"/>
    </row>
    <row r="557" spans="3:3" ht="14.5" customHeight="1">
      <c r="C557" s="1"/>
    </row>
    <row r="558" spans="3:3" ht="14.5" customHeight="1">
      <c r="C558" s="1"/>
    </row>
    <row r="559" spans="3:3" ht="14.5" customHeight="1">
      <c r="C559" s="1"/>
    </row>
    <row r="560" spans="3:3" ht="14.5" customHeight="1">
      <c r="C560" s="1"/>
    </row>
    <row r="561" spans="3:3" ht="14.5" customHeight="1">
      <c r="C561" s="1"/>
    </row>
    <row r="562" spans="3:3" ht="14.5" customHeight="1">
      <c r="C562" s="1"/>
    </row>
    <row r="563" spans="3:3" ht="14.5" customHeight="1">
      <c r="C563" s="1"/>
    </row>
    <row r="564" spans="3:3" ht="14.5" customHeight="1">
      <c r="C564" s="1"/>
    </row>
    <row r="565" spans="3:3" ht="14.5" customHeight="1">
      <c r="C565" s="1"/>
    </row>
    <row r="566" spans="3:3" ht="14.5" customHeight="1">
      <c r="C566" s="1"/>
    </row>
    <row r="567" spans="3:3" ht="14.5" customHeight="1">
      <c r="C567" s="1"/>
    </row>
    <row r="568" spans="3:3" ht="14.5" customHeight="1">
      <c r="C568" s="1"/>
    </row>
    <row r="569" spans="3:3" ht="14.5" customHeight="1">
      <c r="C569" s="1"/>
    </row>
    <row r="570" spans="3:3" ht="14.5" customHeight="1">
      <c r="C570" s="1"/>
    </row>
    <row r="571" spans="3:3" ht="14.5" customHeight="1">
      <c r="C571" s="1"/>
    </row>
    <row r="572" spans="3:3" ht="14.5" customHeight="1">
      <c r="C572" s="1"/>
    </row>
    <row r="573" spans="3:3" ht="14.5" customHeight="1">
      <c r="C573" s="1"/>
    </row>
    <row r="574" spans="3:3" ht="14.5" customHeight="1">
      <c r="C574" s="1"/>
    </row>
    <row r="575" spans="3:3" ht="14.5" customHeight="1">
      <c r="C575" s="1"/>
    </row>
  </sheetData>
  <hyperlinks>
    <hyperlink ref="J36" r:id="rId1" xr:uid="{B36CC332-2A93-48C1-8E8C-90E041B8471B}"/>
    <hyperlink ref="J35" r:id="rId2" xr:uid="{67BD2168-290F-40FD-9AF1-556D562ED3DE}"/>
    <hyperlink ref="J34" r:id="rId3" xr:uid="{A323FCC5-1A37-4545-A8F5-341701442954}"/>
    <hyperlink ref="J33" r:id="rId4" xr:uid="{F32B1F46-0ACE-4D43-86EC-40C66DB7D511}"/>
    <hyperlink ref="J32" r:id="rId5" xr:uid="{1CEF3CEC-7AFC-4487-AEAD-C9E28B406D9F}"/>
    <hyperlink ref="J31" r:id="rId6" xr:uid="{111796D9-FAFC-480C-A52B-6A4D1468DA48}"/>
    <hyperlink ref="J30" r:id="rId7" xr:uid="{A31F1BC2-17F4-40AF-8B61-ABD8DB396B88}"/>
    <hyperlink ref="J29" r:id="rId8" xr:uid="{26D41432-83D4-4CD2-A6BC-4314342FD4C1}"/>
    <hyperlink ref="J64" r:id="rId9" xr:uid="{A666B55C-BA13-46C7-908A-5C7FC19C2E5A}"/>
    <hyperlink ref="J63" r:id="rId10" xr:uid="{7529E7B5-74DF-45F7-90B2-76221EDA4A3F}"/>
    <hyperlink ref="J62" r:id="rId11" xr:uid="{1BE1C6F4-5CE7-4B8A-BAD5-8F2A0C98BFB2}"/>
    <hyperlink ref="J21" r:id="rId12" xr:uid="{9A451771-EAC9-43C6-8396-08AE8D58A949}"/>
    <hyperlink ref="J61" r:id="rId13" xr:uid="{35CF7305-AF54-42E6-A43B-B89837B8F596}"/>
    <hyperlink ref="J20" r:id="rId14" xr:uid="{BC0C61AC-583F-49E2-B8D1-720B7AEC0641}"/>
    <hyperlink ref="J60" r:id="rId15" xr:uid="{6C883AC6-CC6B-4F1B-9625-734EFCCBDEB5}"/>
    <hyperlink ref="J80" r:id="rId16" xr:uid="{F278A85A-ACDD-4622-B896-2961A6D82F3A}"/>
    <hyperlink ref="J79" r:id="rId17" xr:uid="{318B2CE9-5F08-4530-8C8B-539A9903ADEC}"/>
    <hyperlink ref="J81" r:id="rId18" xr:uid="{A8F72829-8350-497D-9554-6B7363EBAD26}"/>
    <hyperlink ref="J82" r:id="rId19" xr:uid="{66909084-9115-4503-BAF8-FCFCBE0E83E9}"/>
    <hyperlink ref="J78" r:id="rId20" xr:uid="{9C39E781-4DD7-46F9-BB85-4335638B74A9}"/>
    <hyperlink ref="J59" r:id="rId21" xr:uid="{9A0804A5-7C31-4B42-96D3-927E4D16EDCC}"/>
    <hyperlink ref="J19" r:id="rId22" xr:uid="{61F3C3E3-B0E7-499D-A4F4-0204A51FAC71}"/>
    <hyperlink ref="J77" r:id="rId23" xr:uid="{B550A1C4-28E7-45A0-A143-86AD956B1B05}"/>
    <hyperlink ref="J58" r:id="rId24" xr:uid="{C0F60E4B-A7F1-42AC-8DF7-2AE1A0B680E3}"/>
    <hyperlink ref="J57" r:id="rId25" xr:uid="{9B29C021-29CD-4BF8-BD4B-445C5A1BABDD}"/>
    <hyperlink ref="J56" r:id="rId26" xr:uid="{671B4E2A-5082-4AF1-83E6-7503FD050513}"/>
    <hyperlink ref="J18" r:id="rId27" xr:uid="{9323B03A-D87E-4FC1-B410-A8F3B650C520}"/>
    <hyperlink ref="J68" r:id="rId28" xr:uid="{CFBB954A-89E8-4354-A7F6-7E4C1BBF6412}"/>
    <hyperlink ref="J69" r:id="rId29" xr:uid="{DC79AB8C-CD6C-426D-87BE-5100D980210E}"/>
    <hyperlink ref="J70" r:id="rId30" xr:uid="{E029048A-ED5A-4EAA-A10E-E3E1BC06687D}"/>
    <hyperlink ref="J71" r:id="rId31" xr:uid="{46DDE81E-7326-44C4-8520-1468D40504E1}"/>
    <hyperlink ref="J72" r:id="rId32" xr:uid="{BB4016B6-C729-4A58-B28C-A8F8FBC6DC85}"/>
    <hyperlink ref="J73" r:id="rId33" xr:uid="{AFA356B3-162D-4CAE-94BB-B3818BCE36A3}"/>
    <hyperlink ref="J74" r:id="rId34" xr:uid="{64926AF0-78A7-4AB7-970D-5975769A7293}"/>
    <hyperlink ref="J75" r:id="rId35" xr:uid="{7436B96A-FF71-4197-8498-AA5F5764E24C}"/>
    <hyperlink ref="J76" r:id="rId36" xr:uid="{D9CC9337-7219-46C9-90DA-7B344ED91A5E}"/>
  </hyperlinks>
  <pageMargins left="0.7" right="0.7" top="0.75" bottom="0.75" header="0.3" footer="0.3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F6FA3-1BB9-43BA-B7D4-030199AAC529}">
  <dimension ref="A1:D13"/>
  <sheetViews>
    <sheetView tabSelected="1" zoomScale="69" workbookViewId="0">
      <selection activeCell="C24" sqref="C24"/>
    </sheetView>
  </sheetViews>
  <sheetFormatPr baseColWidth="10" defaultRowHeight="14.5"/>
  <cols>
    <col min="1" max="1" width="25.6328125" bestFit="1" customWidth="1"/>
    <col min="2" max="2" width="18.54296875" bestFit="1" customWidth="1"/>
    <col min="3" max="3" width="21.36328125" bestFit="1" customWidth="1"/>
    <col min="4" max="4" width="18" bestFit="1" customWidth="1"/>
    <col min="5" max="5" width="3.81640625" bestFit="1" customWidth="1"/>
    <col min="6" max="6" width="23.08984375" bestFit="1" customWidth="1"/>
    <col min="7" max="7" width="25.81640625" bestFit="1" customWidth="1"/>
  </cols>
  <sheetData>
    <row r="1" spans="1:4">
      <c r="A1" s="12" t="s">
        <v>5</v>
      </c>
      <c r="B1" t="s">
        <v>699</v>
      </c>
    </row>
    <row r="3" spans="1:4">
      <c r="A3" s="12" t="s">
        <v>695</v>
      </c>
      <c r="B3" t="s">
        <v>697</v>
      </c>
      <c r="C3" t="s">
        <v>698</v>
      </c>
      <c r="D3" t="s">
        <v>711</v>
      </c>
    </row>
    <row r="4" spans="1:4">
      <c r="A4" s="13" t="s">
        <v>702</v>
      </c>
      <c r="B4" s="14">
        <v>4</v>
      </c>
      <c r="C4" s="14">
        <v>1</v>
      </c>
      <c r="D4" s="14">
        <v>3</v>
      </c>
    </row>
    <row r="5" spans="1:4">
      <c r="A5" s="13" t="s">
        <v>703</v>
      </c>
      <c r="B5" s="14">
        <v>8</v>
      </c>
      <c r="C5" s="14">
        <v>5</v>
      </c>
      <c r="D5" s="14">
        <v>8</v>
      </c>
    </row>
    <row r="6" spans="1:4">
      <c r="A6" s="13" t="s">
        <v>704</v>
      </c>
      <c r="B6" s="14">
        <v>24</v>
      </c>
      <c r="C6" s="14">
        <v>24</v>
      </c>
      <c r="D6" s="14">
        <v>24</v>
      </c>
    </row>
    <row r="7" spans="1:4">
      <c r="A7" s="13" t="s">
        <v>705</v>
      </c>
      <c r="B7" s="14">
        <v>76</v>
      </c>
      <c r="C7" s="14">
        <v>76</v>
      </c>
      <c r="D7" s="14">
        <v>76</v>
      </c>
    </row>
    <row r="8" spans="1:4">
      <c r="A8" s="13" t="s">
        <v>706</v>
      </c>
      <c r="B8" s="14">
        <v>8</v>
      </c>
      <c r="C8" s="14">
        <v>8</v>
      </c>
      <c r="D8" s="14">
        <v>8</v>
      </c>
    </row>
    <row r="9" spans="1:4">
      <c r="A9" s="13" t="s">
        <v>707</v>
      </c>
      <c r="B9" s="14">
        <v>9</v>
      </c>
      <c r="C9" s="14">
        <v>7</v>
      </c>
      <c r="D9" s="14">
        <v>8</v>
      </c>
    </row>
    <row r="10" spans="1:4">
      <c r="A10" s="13" t="s">
        <v>708</v>
      </c>
      <c r="B10" s="14">
        <v>13</v>
      </c>
      <c r="C10" s="14">
        <v>4</v>
      </c>
      <c r="D10" s="14">
        <v>13</v>
      </c>
    </row>
    <row r="11" spans="1:4">
      <c r="A11" s="13" t="s">
        <v>709</v>
      </c>
      <c r="B11" s="14">
        <v>1</v>
      </c>
      <c r="C11" s="14">
        <v>0</v>
      </c>
      <c r="D11" s="14">
        <v>1</v>
      </c>
    </row>
    <row r="12" spans="1:4">
      <c r="A12" s="13" t="s">
        <v>710</v>
      </c>
      <c r="B12" s="14">
        <v>1</v>
      </c>
      <c r="C12" s="14">
        <v>0</v>
      </c>
      <c r="D12" s="14">
        <v>1</v>
      </c>
    </row>
    <row r="13" spans="1:4">
      <c r="A13" s="13" t="s">
        <v>696</v>
      </c>
      <c r="B13" s="14">
        <v>144</v>
      </c>
      <c r="C13" s="14">
        <v>125</v>
      </c>
      <c r="D13" s="14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 Arratia</dc:creator>
  <cp:lastModifiedBy>Carolina  Arratia</cp:lastModifiedBy>
  <dcterms:created xsi:type="dcterms:W3CDTF">2026-05-10T19:47:54Z</dcterms:created>
  <dcterms:modified xsi:type="dcterms:W3CDTF">2026-05-10T22:12:21Z</dcterms:modified>
</cp:coreProperties>
</file>